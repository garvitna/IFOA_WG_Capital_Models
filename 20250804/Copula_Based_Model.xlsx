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22" documentId="13_ncr:1_{D64A85EF-DC59-4AF3-BDDC-B024C626CF28}" xr6:coauthVersionLast="47" xr6:coauthVersionMax="47" xr10:uidLastSave="{C8C80B03-B600-44AE-826E-5208B81C0811}"/>
  <bookViews>
    <workbookView xWindow="20" yWindow="20" windowWidth="19180" windowHeight="10060" firstSheet="7" activeTab="7" xr2:uid="{00000000-000D-0000-FFFF-FFFF00000000}"/>
  </bookViews>
  <sheets>
    <sheet name="Underwriting" sheetId="1" r:id="rId1"/>
    <sheet name="Reserve" sheetId="2" r:id="rId2"/>
    <sheet name="Market" sheetId="3" r:id="rId3"/>
    <sheet name="Market_Correlation" sheetId="15" r:id="rId4"/>
    <sheet name="Credit" sheetId="4" r:id="rId5"/>
    <sheet name="Operational" sheetId="5" r:id="rId6"/>
    <sheet name="Reinsurance" sheetId="8" r:id="rId7"/>
    <sheet name="Cat Reinsurance" sheetId="16" r:id="rId8"/>
    <sheet name="Correlation Matrix" sheetId="9" r:id="rId9"/>
    <sheet name="Correlation Inputs" sheetId="10" r:id="rId10"/>
    <sheet name="Expense Inputs" sheetId="11" r:id="rId11"/>
    <sheet name="Yield Curve" sheetId="12" r:id="rId12"/>
    <sheet name="Payment Pattern" sheetId="13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E3" i="1"/>
  <c r="F3" i="1" s="1"/>
  <c r="E2" i="1"/>
  <c r="F2" i="1" s="1"/>
  <c r="C2" i="9" l="1" a="1"/>
  <c r="C2" i="9" s="1"/>
  <c r="D2" i="9"/>
  <c r="E2" i="9"/>
  <c r="F2" i="9"/>
  <c r="G2" i="9"/>
  <c r="H2" i="9"/>
  <c r="B1" i="15" a="1"/>
  <c r="B1" i="15" s="1"/>
  <c r="A22" i="12"/>
  <c r="A23" i="12"/>
  <c r="A24" i="12" s="1"/>
  <c r="A25" i="12" s="1"/>
  <c r="B22" i="12"/>
  <c r="B23" i="12"/>
  <c r="B24" i="12"/>
  <c r="B25" i="12"/>
  <c r="A22" i="13" l="1"/>
  <c r="A23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4" i="12"/>
  <c r="A5" i="12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3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A24" i="13" l="1"/>
  <c r="A25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<sst xmlns="http://schemas.openxmlformats.org/spreadsheetml/2006/main" count="179" uniqueCount="73">
  <si>
    <t>Gamma_Alpha_Parameter</t>
  </si>
  <si>
    <t>Gamma_Theta_Parameter</t>
  </si>
  <si>
    <t>Specialty</t>
  </si>
  <si>
    <t>Property</t>
  </si>
  <si>
    <t>Liability</t>
  </si>
  <si>
    <t>main_category</t>
  </si>
  <si>
    <t>parameter_name</t>
  </si>
  <si>
    <t>value</t>
  </si>
  <si>
    <t>interest_rate</t>
  </si>
  <si>
    <t>equity_price</t>
  </si>
  <si>
    <t>currency_exchange_rate</t>
  </si>
  <si>
    <t>volatility</t>
  </si>
  <si>
    <t>alpha</t>
  </si>
  <si>
    <t>beta</t>
  </si>
  <si>
    <t>probability_of_default</t>
  </si>
  <si>
    <t>loss_given_default</t>
  </si>
  <si>
    <t>high_quality</t>
  </si>
  <si>
    <t>medium_quality</t>
  </si>
  <si>
    <t>low_quality</t>
  </si>
  <si>
    <t>operational_risk</t>
  </si>
  <si>
    <t>frequency_lambda</t>
  </si>
  <si>
    <t>severity_mean</t>
  </si>
  <si>
    <t>severity_stddev</t>
  </si>
  <si>
    <t>mu</t>
  </si>
  <si>
    <t>sigma</t>
  </si>
  <si>
    <t>Quota_Share</t>
  </si>
  <si>
    <t>CAT_XoL_Retention</t>
  </si>
  <si>
    <t>CAT_XoL_Limit</t>
  </si>
  <si>
    <t>Losses_Aggregation_Theta</t>
  </si>
  <si>
    <t>Risk_Aggregation_Theta</t>
  </si>
  <si>
    <t>Expense_mu</t>
  </si>
  <si>
    <t>Expense_sigma</t>
  </si>
  <si>
    <t>Year</t>
  </si>
  <si>
    <t>Yield_Curve</t>
  </si>
  <si>
    <t>initial_assets</t>
  </si>
  <si>
    <t>Reserve_Mean</t>
  </si>
  <si>
    <t>Reserve_Sigma</t>
  </si>
  <si>
    <t>credit_spread</t>
  </si>
  <si>
    <t>interest_rate_changes</t>
  </si>
  <si>
    <t>equity_price_changes</t>
  </si>
  <si>
    <t>currency_exchange_rate_changes</t>
  </si>
  <si>
    <t>Net Premium</t>
  </si>
  <si>
    <t>layer</t>
  </si>
  <si>
    <t>Layer 1</t>
  </si>
  <si>
    <t>Layer 2</t>
  </si>
  <si>
    <t>asset_risk_factor_sensitivity</t>
  </si>
  <si>
    <t>mean</t>
  </si>
  <si>
    <t>Layer 3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</si>
  <si>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</si>
  <si>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</si>
  <si>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</si>
  <si>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</si>
  <si>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</si>
  <si>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</si>
  <si>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</si>
  <si>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</si>
  <si>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</si>
  <si>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</si>
  <si>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</si>
  <si>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</si>
  <si>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cat_copula_parameter</t>
  </si>
  <si>
    <t>theta</t>
  </si>
  <si>
    <t>Layer 4</t>
  </si>
  <si>
    <t>lob</t>
  </si>
  <si>
    <t>economic_cycle_changes</t>
  </si>
  <si>
    <t>inflation_changes</t>
  </si>
  <si>
    <t>economic_cycle</t>
  </si>
  <si>
    <t>inflation_change</t>
  </si>
  <si>
    <t>Class_DoF</t>
  </si>
  <si>
    <t>UW</t>
  </si>
  <si>
    <t>Res</t>
  </si>
  <si>
    <t>Mean LR</t>
  </si>
  <si>
    <t>CoV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</si>
</sst>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0" fillId="0" borderId="0" xfId="2" applyNumberFormat="1" applyFont="1"/>
    <xf numFmtId="166" fontId="0" fillId="0" borderId="0" xfId="3" applyNumberFormat="1" applyFont="1"/>
    <xf numFmtId="9" fontId="0" fillId="0" borderId="0" xfId="3" applyFont="1"/>
    <xf numFmtId="0" fontId="1" fillId="0" borderId="3" xfId="0" applyFont="1" applyBorder="1" applyAlignment="1">
      <alignment horizontal="center" vertical="top"/>
    </xf>
    <xf numFmtId="166" fontId="0" fillId="0" borderId="0" xfId="0" applyNumberFormat="1"/>
    <xf numFmtId="165" fontId="0" fillId="0" borderId="0" xfId="0" applyNumberFormat="1"/>
  </cellXfs>
  <cellStyles count="4">
    <cellStyle name="Comma" xfId="1" builtinId="3"/>
    <cellStyle name="Comma 2" xfId="2" xr:uid="{F028AF62-25C6-4DB6-8767-2B034B3A6A19}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49" workbookViewId="0">
      <selection activeCell="D2" sqref="D2"/>
    </sheetView>
  </sheetViews>
  <sheetFormatPr defaultRowHeight="14.5" x14ac:dyDescent="0.35"/>
  <cols>
    <col min="2" max="2" width="16.81640625" bestFit="1" customWidth="1"/>
    <col min="3" max="3" width="24.7265625" bestFit="1" customWidth="1"/>
    <col min="4" max="4" width="24.54296875" bestFit="1" customWidth="1"/>
    <col min="5" max="5" width="24.7265625" bestFit="1" customWidth="1"/>
    <col min="6" max="6" width="24.54296875" bestFit="1" customWidth="1"/>
    <col min="7" max="7" width="15.7265625" bestFit="1" customWidth="1"/>
  </cols>
  <sheetData>
    <row r="1" spans="1:7" x14ac:dyDescent="0.35">
      <c r="A1" s="1" t="s">
        <v>63</v>
      </c>
      <c r="B1" s="1" t="s">
        <v>41</v>
      </c>
      <c r="C1" s="10" t="s">
        <v>71</v>
      </c>
      <c r="D1" s="10" t="s">
        <v>72</v>
      </c>
      <c r="E1" s="1" t="s">
        <v>0</v>
      </c>
      <c r="F1" s="1" t="s">
        <v>1</v>
      </c>
    </row>
    <row r="2" spans="1:7" x14ac:dyDescent="0.35">
      <c r="A2" t="s">
        <v>2</v>
      </c>
      <c r="B2" s="4">
        <v>188700000</v>
      </c>
      <c r="C2" s="8">
        <v>0.5</v>
      </c>
      <c r="D2" s="9">
        <v>0.5</v>
      </c>
      <c r="E2">
        <f>1/D2^2</f>
        <v>4</v>
      </c>
      <c r="F2" s="5">
        <f>C2*B2/E2</f>
        <v>23587500</v>
      </c>
      <c r="G2" s="11"/>
    </row>
    <row r="3" spans="1:7" x14ac:dyDescent="0.35">
      <c r="A3" t="s">
        <v>3</v>
      </c>
      <c r="B3" s="4">
        <v>305000000</v>
      </c>
      <c r="C3" s="8">
        <v>0.6</v>
      </c>
      <c r="D3" s="9">
        <v>0.38000840708731226</v>
      </c>
      <c r="E3">
        <f t="shared" ref="E3:E4" si="0">1/D3^2</f>
        <v>6.9249013410000009</v>
      </c>
      <c r="F3" s="5">
        <f>C3*B3/E3</f>
        <v>26426369.270637669</v>
      </c>
    </row>
    <row r="4" spans="1:7" x14ac:dyDescent="0.35">
      <c r="A4" t="s">
        <v>4</v>
      </c>
      <c r="B4" s="4">
        <v>188700000</v>
      </c>
      <c r="C4" s="8">
        <v>0.7</v>
      </c>
      <c r="D4" s="9">
        <v>0.38002315083530841</v>
      </c>
      <c r="E4">
        <f t="shared" si="0"/>
        <v>6.9243640209999997</v>
      </c>
      <c r="F4" s="5">
        <f>C4*B4/E4</f>
        <v>19076120.146110382</v>
      </c>
    </row>
    <row r="5" spans="1:7" x14ac:dyDescent="0.35">
      <c r="B5" s="12"/>
    </row>
    <row r="6" spans="1:7" x14ac:dyDescent="0.35">
      <c r="B6" s="12"/>
      <c r="C6" s="5"/>
    </row>
    <row r="7" spans="1:7" x14ac:dyDescent="0.35">
      <c r="B7" s="12"/>
      <c r="C7" s="5"/>
    </row>
    <row r="8" spans="1:7" x14ac:dyDescent="0.35">
      <c r="B8" s="12"/>
      <c r="C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E4" sqref="E4"/>
    </sheetView>
  </sheetViews>
  <sheetFormatPr defaultRowHeight="14.5" x14ac:dyDescent="0.35"/>
  <cols>
    <col min="2" max="2" width="16.81640625" bestFit="1" customWidth="1"/>
    <col min="3" max="3" width="14.54296875" bestFit="1" customWidth="1"/>
    <col min="7" max="7" width="14.54296875" bestFit="1" customWidth="1"/>
  </cols>
  <sheetData>
    <row r="1" spans="1:7" x14ac:dyDescent="0.35">
      <c r="A1" s="1" t="s">
        <v>63</v>
      </c>
      <c r="B1" s="1" t="s">
        <v>35</v>
      </c>
      <c r="C1" s="1" t="s">
        <v>36</v>
      </c>
    </row>
    <row r="2" spans="1:7" x14ac:dyDescent="0.35">
      <c r="A2" t="s">
        <v>2</v>
      </c>
      <c r="B2" s="4">
        <v>200000000</v>
      </c>
      <c r="C2">
        <v>0.1</v>
      </c>
      <c r="G2" s="4"/>
    </row>
    <row r="3" spans="1:7" x14ac:dyDescent="0.35">
      <c r="A3" t="s">
        <v>3</v>
      </c>
      <c r="B3" s="4">
        <v>100000000</v>
      </c>
      <c r="C3">
        <v>0.05</v>
      </c>
      <c r="G3" s="4"/>
    </row>
    <row r="4" spans="1:7" x14ac:dyDescent="0.35">
      <c r="A4" t="s">
        <v>4</v>
      </c>
      <c r="B4" s="4">
        <v>400000000</v>
      </c>
      <c r="C4">
        <v>0.15</v>
      </c>
      <c r="G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="71" workbookViewId="0">
      <selection activeCell="A18" sqref="A18"/>
    </sheetView>
  </sheetViews>
  <sheetFormatPr defaultRowHeight="14.5" x14ac:dyDescent="0.35"/>
  <cols>
    <col min="1" max="1" width="26.54296875" bestFit="1" customWidth="1"/>
    <col min="2" max="2" width="22" bestFit="1" customWidth="1"/>
    <col min="3" max="3" width="15.2695312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66</v>
      </c>
      <c r="B2" t="s">
        <v>23</v>
      </c>
      <c r="C2">
        <v>0</v>
      </c>
    </row>
    <row r="3" spans="1:3" x14ac:dyDescent="0.35">
      <c r="A3" t="s">
        <v>66</v>
      </c>
      <c r="B3" t="s">
        <v>24</v>
      </c>
      <c r="C3">
        <v>0.02</v>
      </c>
    </row>
    <row r="4" spans="1:3" x14ac:dyDescent="0.35">
      <c r="A4" t="s">
        <v>8</v>
      </c>
      <c r="B4" t="s">
        <v>11</v>
      </c>
      <c r="C4">
        <v>0.02</v>
      </c>
    </row>
    <row r="5" spans="1:3" x14ac:dyDescent="0.35">
      <c r="A5" t="s">
        <v>8</v>
      </c>
      <c r="B5" t="s">
        <v>46</v>
      </c>
      <c r="C5">
        <v>0</v>
      </c>
    </row>
    <row r="6" spans="1:3" x14ac:dyDescent="0.35">
      <c r="A6" t="s">
        <v>9</v>
      </c>
      <c r="B6" t="s">
        <v>46</v>
      </c>
      <c r="C6">
        <v>0.1</v>
      </c>
    </row>
    <row r="7" spans="1:3" x14ac:dyDescent="0.35">
      <c r="A7" t="s">
        <v>9</v>
      </c>
      <c r="B7" t="s">
        <v>11</v>
      </c>
      <c r="C7">
        <v>0.25</v>
      </c>
    </row>
    <row r="8" spans="1:3" x14ac:dyDescent="0.35">
      <c r="A8" t="s">
        <v>10</v>
      </c>
      <c r="B8" t="s">
        <v>46</v>
      </c>
      <c r="C8">
        <v>0</v>
      </c>
    </row>
    <row r="9" spans="1:3" x14ac:dyDescent="0.35">
      <c r="A9" t="s">
        <v>10</v>
      </c>
      <c r="B9" t="s">
        <v>11</v>
      </c>
      <c r="C9">
        <v>0.3</v>
      </c>
    </row>
    <row r="10" spans="1:3" x14ac:dyDescent="0.35">
      <c r="A10" t="s">
        <v>34</v>
      </c>
      <c r="B10" t="s">
        <v>23</v>
      </c>
      <c r="C10" s="7">
        <v>400000000</v>
      </c>
    </row>
    <row r="11" spans="1:3" x14ac:dyDescent="0.35">
      <c r="A11" t="s">
        <v>37</v>
      </c>
      <c r="B11" t="s">
        <v>12</v>
      </c>
      <c r="C11">
        <v>0.5</v>
      </c>
    </row>
    <row r="12" spans="1:3" x14ac:dyDescent="0.35">
      <c r="A12" t="s">
        <v>37</v>
      </c>
      <c r="B12" t="s">
        <v>13</v>
      </c>
      <c r="C12">
        <v>0.02</v>
      </c>
    </row>
    <row r="13" spans="1:3" x14ac:dyDescent="0.35">
      <c r="A13" t="s">
        <v>45</v>
      </c>
      <c r="B13" t="s">
        <v>8</v>
      </c>
      <c r="C13">
        <v>-0.5</v>
      </c>
    </row>
    <row r="14" spans="1:3" x14ac:dyDescent="0.35">
      <c r="A14" t="s">
        <v>45</v>
      </c>
      <c r="B14" t="s">
        <v>9</v>
      </c>
      <c r="C14">
        <v>0.1</v>
      </c>
    </row>
    <row r="15" spans="1:3" x14ac:dyDescent="0.35">
      <c r="A15" t="s">
        <v>45</v>
      </c>
      <c r="B15" t="s">
        <v>10</v>
      </c>
      <c r="C15">
        <v>0.3</v>
      </c>
    </row>
    <row r="16" spans="1:3" x14ac:dyDescent="0.35">
      <c r="A16" t="s">
        <v>45</v>
      </c>
      <c r="B16" t="s">
        <v>37</v>
      </c>
      <c r="C16">
        <v>-0.3</v>
      </c>
    </row>
    <row r="17" spans="1:3" x14ac:dyDescent="0.35">
      <c r="A17" t="s">
        <v>67</v>
      </c>
      <c r="B17" t="s">
        <v>46</v>
      </c>
      <c r="C17">
        <v>0</v>
      </c>
    </row>
    <row r="18" spans="1:3" x14ac:dyDescent="0.35">
      <c r="A18" t="s">
        <v>67</v>
      </c>
      <c r="B18" t="s">
        <v>11</v>
      </c>
      <c r="C18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FB49-1192-4A6B-B396-FC8880A3F84F}">
  <dimension ref="A1:G7"/>
  <sheetViews>
    <sheetView zoomScale="54" workbookViewId="0">
      <selection activeCell="A9" sqref="A9"/>
    </sheetView>
  </sheetViews>
  <sheetFormatPr defaultRowHeight="14.5" x14ac:dyDescent="0.35"/>
  <cols>
    <col min="1" max="1" width="31.4531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64</v>
      </c>
      <c r="G1" t="s">
        <v>65</v>
      </c>
    </row>
    <row r="2" spans="1:7" x14ac:dyDescent="0.35">
      <c r="A2" t="s">
        <v>38</v>
      </c>
      <c r="B2">
        <v>1</v>
      </c>
    </row>
    <row r="3" spans="1:7" x14ac:dyDescent="0.35">
      <c r="A3" t="s">
        <v>39</v>
      </c>
      <c r="B3">
        <v>-0.2</v>
      </c>
      <c r="C3">
        <v>1</v>
      </c>
    </row>
    <row r="4" spans="1:7" x14ac:dyDescent="0.35">
      <c r="A4" t="s">
        <v>40</v>
      </c>
      <c r="B4">
        <v>0.2</v>
      </c>
      <c r="C4">
        <v>0.1</v>
      </c>
      <c r="D4">
        <v>1</v>
      </c>
    </row>
    <row r="5" spans="1:7" x14ac:dyDescent="0.35">
      <c r="A5" t="s">
        <v>37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64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65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zoomScale="57" workbookViewId="0">
      <selection activeCell="D23" sqref="D23"/>
    </sheetView>
  </sheetViews>
  <sheetFormatPr defaultRowHeight="14.5" x14ac:dyDescent="0.35"/>
  <cols>
    <col min="1" max="1" width="21.453125" bestFit="1" customWidth="1"/>
    <col min="2" max="2" width="16.45312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t="s">
        <v>14</v>
      </c>
      <c r="B2" t="s">
        <v>16</v>
      </c>
      <c r="C2">
        <v>2.0000000000000001E-4</v>
      </c>
    </row>
    <row r="3" spans="1:3" x14ac:dyDescent="0.35">
      <c r="A3" t="s">
        <v>14</v>
      </c>
      <c r="B3" t="s">
        <v>17</v>
      </c>
      <c r="C3">
        <v>5.0000000000000001E-4</v>
      </c>
    </row>
    <row r="4" spans="1:3" x14ac:dyDescent="0.35">
      <c r="A4" t="s">
        <v>14</v>
      </c>
      <c r="B4" t="s">
        <v>18</v>
      </c>
      <c r="C4">
        <v>0.1</v>
      </c>
    </row>
    <row r="5" spans="1:3" x14ac:dyDescent="0.35">
      <c r="A5" t="s">
        <v>15</v>
      </c>
      <c r="B5" t="s">
        <v>12</v>
      </c>
      <c r="C5">
        <v>0.8</v>
      </c>
    </row>
    <row r="6" spans="1:3" x14ac:dyDescent="0.35">
      <c r="A6" t="s">
        <v>15</v>
      </c>
      <c r="B6" t="s">
        <v>13</v>
      </c>
      <c r="C6">
        <v>0.8</v>
      </c>
    </row>
    <row r="7" spans="1:3" x14ac:dyDescent="0.35">
      <c r="A7" t="s">
        <v>60</v>
      </c>
      <c r="B7" t="s">
        <v>61</v>
      </c>
      <c r="C7">
        <v>1.5</v>
      </c>
    </row>
    <row r="8" spans="1:3" x14ac:dyDescent="0.35">
      <c r="A8" t="s">
        <v>48</v>
      </c>
      <c r="B8" t="s">
        <v>49</v>
      </c>
      <c r="C8" t="s">
        <v>16</v>
      </c>
    </row>
    <row r="9" spans="1:3" x14ac:dyDescent="0.35">
      <c r="A9" t="s">
        <v>48</v>
      </c>
      <c r="B9" t="s">
        <v>50</v>
      </c>
      <c r="C9" t="s">
        <v>16</v>
      </c>
    </row>
    <row r="10" spans="1:3" x14ac:dyDescent="0.35">
      <c r="A10" t="s">
        <v>48</v>
      </c>
      <c r="B10" t="s">
        <v>51</v>
      </c>
      <c r="C10" t="s">
        <v>16</v>
      </c>
    </row>
    <row r="11" spans="1:3" x14ac:dyDescent="0.35">
      <c r="A11" t="s">
        <v>48</v>
      </c>
      <c r="B11" t="s">
        <v>52</v>
      </c>
      <c r="C11" t="s">
        <v>16</v>
      </c>
    </row>
    <row r="12" spans="1:3" x14ac:dyDescent="0.35">
      <c r="A12" t="s">
        <v>48</v>
      </c>
      <c r="B12" t="s">
        <v>53</v>
      </c>
      <c r="C12" t="s">
        <v>16</v>
      </c>
    </row>
    <row r="13" spans="1:3" x14ac:dyDescent="0.35">
      <c r="A13" t="s">
        <v>48</v>
      </c>
      <c r="B13" t="s">
        <v>54</v>
      </c>
      <c r="C13" t="s">
        <v>16</v>
      </c>
    </row>
    <row r="14" spans="1:3" x14ac:dyDescent="0.35">
      <c r="A14" t="s">
        <v>48</v>
      </c>
      <c r="B14" t="s">
        <v>55</v>
      </c>
      <c r="C14" t="s">
        <v>17</v>
      </c>
    </row>
    <row r="15" spans="1:3" x14ac:dyDescent="0.35">
      <c r="A15" t="s">
        <v>48</v>
      </c>
      <c r="B15" t="s">
        <v>56</v>
      </c>
      <c r="C15" t="s">
        <v>17</v>
      </c>
    </row>
    <row r="16" spans="1:3" x14ac:dyDescent="0.35">
      <c r="A16" t="s">
        <v>48</v>
      </c>
      <c r="B16" t="s">
        <v>57</v>
      </c>
      <c r="C16" t="s">
        <v>17</v>
      </c>
    </row>
    <row r="17" spans="1:3" x14ac:dyDescent="0.35">
      <c r="A17" t="s">
        <v>48</v>
      </c>
      <c r="B17" t="s">
        <v>58</v>
      </c>
      <c r="C17" t="s">
        <v>18</v>
      </c>
    </row>
    <row r="18" spans="1:3" x14ac:dyDescent="0.35">
      <c r="A18" t="s">
        <v>59</v>
      </c>
      <c r="B18" t="s">
        <v>49</v>
      </c>
      <c r="C18">
        <v>0.1</v>
      </c>
    </row>
    <row r="19" spans="1:3" x14ac:dyDescent="0.35">
      <c r="A19" t="s">
        <v>59</v>
      </c>
      <c r="B19" t="s">
        <v>50</v>
      </c>
      <c r="C19">
        <v>0.1</v>
      </c>
    </row>
    <row r="20" spans="1:3" x14ac:dyDescent="0.35">
      <c r="A20" t="s">
        <v>59</v>
      </c>
      <c r="B20" t="s">
        <v>51</v>
      </c>
      <c r="C20">
        <v>0.1</v>
      </c>
    </row>
    <row r="21" spans="1:3" x14ac:dyDescent="0.35">
      <c r="A21" t="s">
        <v>59</v>
      </c>
      <c r="B21" t="s">
        <v>52</v>
      </c>
      <c r="C21">
        <v>0.1</v>
      </c>
    </row>
    <row r="22" spans="1:3" x14ac:dyDescent="0.35">
      <c r="A22" t="s">
        <v>59</v>
      </c>
      <c r="B22" t="s">
        <v>53</v>
      </c>
      <c r="C22">
        <v>0.1</v>
      </c>
    </row>
    <row r="23" spans="1:3" x14ac:dyDescent="0.35">
      <c r="A23" t="s">
        <v>59</v>
      </c>
      <c r="B23" t="s">
        <v>54</v>
      </c>
      <c r="C23">
        <v>0.1</v>
      </c>
    </row>
    <row r="24" spans="1:3" x14ac:dyDescent="0.35">
      <c r="A24" t="s">
        <v>59</v>
      </c>
      <c r="B24" t="s">
        <v>55</v>
      </c>
      <c r="C24">
        <v>0.1</v>
      </c>
    </row>
    <row r="25" spans="1:3" x14ac:dyDescent="0.35">
      <c r="A25" t="s">
        <v>59</v>
      </c>
      <c r="B25" t="s">
        <v>56</v>
      </c>
      <c r="C25">
        <v>0.1</v>
      </c>
    </row>
    <row r="26" spans="1:3" x14ac:dyDescent="0.35">
      <c r="A26" t="s">
        <v>59</v>
      </c>
      <c r="B26" t="s">
        <v>57</v>
      </c>
      <c r="C26">
        <v>0.1</v>
      </c>
    </row>
    <row r="27" spans="1:3" x14ac:dyDescent="0.35">
      <c r="A27" t="s">
        <v>59</v>
      </c>
      <c r="B27" t="s">
        <v>58</v>
      </c>
      <c r="C27">
        <v>0.1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C5" sqref="C5"/>
    </sheetView>
  </sheetViews>
  <sheetFormatPr defaultRowHeight="14.5" x14ac:dyDescent="0.35"/>
  <cols>
    <col min="2" max="2" width="17.81640625" bestFit="1" customWidth="1"/>
    <col min="5" max="5" width="12.54296875" bestFit="1" customWidth="1"/>
  </cols>
  <sheetData>
    <row r="1" spans="1:5" x14ac:dyDescent="0.35">
      <c r="A1" s="1" t="s">
        <v>5</v>
      </c>
      <c r="B1" s="1" t="s">
        <v>6</v>
      </c>
      <c r="C1" s="1" t="s">
        <v>7</v>
      </c>
    </row>
    <row r="2" spans="1:5" x14ac:dyDescent="0.35">
      <c r="A2" t="s">
        <v>19</v>
      </c>
      <c r="B2" t="s">
        <v>20</v>
      </c>
      <c r="C2">
        <v>1</v>
      </c>
    </row>
    <row r="3" spans="1:5" x14ac:dyDescent="0.35">
      <c r="A3" t="s">
        <v>19</v>
      </c>
      <c r="B3" t="s">
        <v>21</v>
      </c>
      <c r="C3">
        <v>15</v>
      </c>
      <c r="E3" s="4"/>
    </row>
    <row r="4" spans="1:5" x14ac:dyDescent="0.35">
      <c r="A4" t="s">
        <v>19</v>
      </c>
      <c r="B4" t="s">
        <v>22</v>
      </c>
      <c r="C4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1" t="s">
        <v>63</v>
      </c>
      <c r="B1" s="1" t="s">
        <v>25</v>
      </c>
    </row>
    <row r="2" spans="1:2" x14ac:dyDescent="0.35">
      <c r="A2" t="s">
        <v>2</v>
      </c>
      <c r="B2">
        <v>0.25</v>
      </c>
    </row>
    <row r="3" spans="1:2" x14ac:dyDescent="0.35">
      <c r="A3" t="s">
        <v>3</v>
      </c>
      <c r="B3">
        <v>0.25</v>
      </c>
    </row>
    <row r="4" spans="1:2" x14ac:dyDescent="0.35">
      <c r="A4" t="s">
        <v>4</v>
      </c>
      <c r="B4">
        <v>0.3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CE9E-019F-4AAC-9A69-48485F2FC176}">
  <dimension ref="A1:E5"/>
  <sheetViews>
    <sheetView tabSelected="1" workbookViewId="0">
      <selection activeCell="B2" sqref="B2:C5"/>
    </sheetView>
  </sheetViews>
  <sheetFormatPr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42</v>
      </c>
      <c r="B1" s="1" t="s">
        <v>27</v>
      </c>
      <c r="C1" s="1" t="s">
        <v>26</v>
      </c>
      <c r="E1" s="1"/>
    </row>
    <row r="2" spans="1:5" x14ac:dyDescent="0.35">
      <c r="A2" s="1" t="s">
        <v>43</v>
      </c>
      <c r="B2" s="4">
        <v>100000000</v>
      </c>
      <c r="C2" s="4">
        <v>100000000</v>
      </c>
      <c r="E2" s="1"/>
    </row>
    <row r="3" spans="1:5" x14ac:dyDescent="0.35">
      <c r="A3" s="1" t="s">
        <v>44</v>
      </c>
      <c r="B3" s="4">
        <v>500000000</v>
      </c>
      <c r="C3" s="4">
        <v>200000000</v>
      </c>
    </row>
    <row r="4" spans="1:5" x14ac:dyDescent="0.35">
      <c r="A4" s="1" t="s">
        <v>47</v>
      </c>
      <c r="B4" s="4">
        <v>300000000</v>
      </c>
      <c r="C4" s="4">
        <v>700000000</v>
      </c>
    </row>
    <row r="5" spans="1:5" x14ac:dyDescent="0.35">
      <c r="A5" s="6" t="s">
        <v>62</v>
      </c>
      <c r="B5" s="4">
        <v>1000000000</v>
      </c>
      <c r="C5" s="4">
        <v>1000000000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9001-998B-4E20-AD63-7CEFD92BA227}">
  <dimension ref="A1:H8"/>
  <sheetViews>
    <sheetView workbookViewId="0">
      <selection activeCell="C3" sqref="C3"/>
    </sheetView>
  </sheetViews>
  <sheetFormatPr defaultRowHeight="14.5" x14ac:dyDescent="0.35"/>
  <cols>
    <col min="2" max="2" width="9.1796875"/>
  </cols>
  <sheetData>
    <row r="1" spans="1:8" x14ac:dyDescent="0.35">
      <c r="C1" t="s">
        <v>69</v>
      </c>
      <c r="D1" t="s">
        <v>69</v>
      </c>
      <c r="E1" t="s">
        <v>69</v>
      </c>
      <c r="F1" t="s">
        <v>70</v>
      </c>
      <c r="G1" t="s">
        <v>70</v>
      </c>
      <c r="H1" t="s">
        <v>70</v>
      </c>
    </row>
    <row r="2" spans="1:8" x14ac:dyDescent="0.35">
      <c r="C2" t="str">
        <f t="array" ref="C2:H2">TRANSPOSE(B3:B8)</f>
        <v>Specialty</v>
      </c>
      <c r="D2" t="str">
        <v>Property</v>
      </c>
      <c r="E2" t="str">
        <v>Liability</v>
      </c>
      <c r="F2" t="str">
        <v>Specialty</v>
      </c>
      <c r="G2" t="str">
        <v>Property</v>
      </c>
      <c r="H2" t="str">
        <v>Liability</v>
      </c>
    </row>
    <row r="3" spans="1:8" x14ac:dyDescent="0.35">
      <c r="A3" t="s">
        <v>69</v>
      </c>
      <c r="B3" t="s">
        <v>2</v>
      </c>
      <c r="C3">
        <v>1</v>
      </c>
      <c r="D3">
        <v>0.35</v>
      </c>
      <c r="E3">
        <v>0.54</v>
      </c>
      <c r="F3">
        <v>0.4</v>
      </c>
      <c r="G3">
        <v>0.2</v>
      </c>
      <c r="H3">
        <v>0.3</v>
      </c>
    </row>
    <row r="4" spans="1:8" x14ac:dyDescent="0.35">
      <c r="A4" t="s">
        <v>69</v>
      </c>
      <c r="B4" t="s">
        <v>3</v>
      </c>
      <c r="C4">
        <v>0.35</v>
      </c>
      <c r="D4">
        <v>1</v>
      </c>
      <c r="E4">
        <v>0.48</v>
      </c>
      <c r="F4">
        <v>0.2</v>
      </c>
      <c r="G4">
        <v>0.4</v>
      </c>
      <c r="H4">
        <v>0.3</v>
      </c>
    </row>
    <row r="5" spans="1:8" x14ac:dyDescent="0.35">
      <c r="A5" t="s">
        <v>69</v>
      </c>
      <c r="B5" t="s">
        <v>4</v>
      </c>
      <c r="C5">
        <v>0.54</v>
      </c>
      <c r="D5">
        <v>0.48</v>
      </c>
      <c r="E5">
        <v>1</v>
      </c>
      <c r="F5">
        <v>0.3</v>
      </c>
      <c r="G5">
        <v>0.3</v>
      </c>
      <c r="H5">
        <v>0.7</v>
      </c>
    </row>
    <row r="6" spans="1:8" x14ac:dyDescent="0.35">
      <c r="A6" t="s">
        <v>70</v>
      </c>
      <c r="B6" t="s">
        <v>2</v>
      </c>
      <c r="C6">
        <v>0.4</v>
      </c>
      <c r="D6">
        <v>0.2</v>
      </c>
      <c r="E6">
        <v>0.3</v>
      </c>
      <c r="F6">
        <v>1</v>
      </c>
      <c r="G6">
        <v>0.35</v>
      </c>
      <c r="H6">
        <v>0.54</v>
      </c>
    </row>
    <row r="7" spans="1:8" x14ac:dyDescent="0.35">
      <c r="A7" t="s">
        <v>70</v>
      </c>
      <c r="B7" t="s">
        <v>3</v>
      </c>
      <c r="C7">
        <v>0.2</v>
      </c>
      <c r="D7">
        <v>0.4</v>
      </c>
      <c r="E7">
        <v>0.3</v>
      </c>
      <c r="F7">
        <v>0.35</v>
      </c>
      <c r="G7">
        <v>1</v>
      </c>
      <c r="H7">
        <v>0.48</v>
      </c>
    </row>
    <row r="8" spans="1:8" x14ac:dyDescent="0.35">
      <c r="A8" t="s">
        <v>70</v>
      </c>
      <c r="B8" t="s">
        <v>4</v>
      </c>
      <c r="C8">
        <v>0.3</v>
      </c>
      <c r="D8">
        <v>0.3</v>
      </c>
      <c r="E8">
        <v>0.7</v>
      </c>
      <c r="F8">
        <v>0.54</v>
      </c>
      <c r="G8">
        <v>0.48</v>
      </c>
      <c r="H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AE5-DDEB-4810-904E-F61DE554266B}">
  <dimension ref="A1:B4"/>
  <sheetViews>
    <sheetView workbookViewId="0">
      <selection activeCell="B2" sqref="B2"/>
    </sheetView>
  </sheetViews>
  <sheetFormatPr defaultRowHeight="14.5" x14ac:dyDescent="0.35"/>
  <cols>
    <col min="1" max="1" width="24.816406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28</v>
      </c>
      <c r="B2">
        <v>1.2</v>
      </c>
    </row>
    <row r="3" spans="1:2" x14ac:dyDescent="0.35">
      <c r="A3" t="s">
        <v>29</v>
      </c>
      <c r="B3">
        <v>1.5</v>
      </c>
    </row>
    <row r="4" spans="1:2" x14ac:dyDescent="0.35">
      <c r="A4" t="s">
        <v>68</v>
      </c>
      <c r="B4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D2D2-1038-4D08-A255-8AC315300607}">
  <dimension ref="A1:B5"/>
  <sheetViews>
    <sheetView workbookViewId="0">
      <selection activeCell="B4" sqref="B4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30</v>
      </c>
      <c r="B2">
        <v>0.1</v>
      </c>
    </row>
    <row r="3" spans="1:2" x14ac:dyDescent="0.35">
      <c r="A3" t="s">
        <v>31</v>
      </c>
      <c r="B3">
        <v>0.02</v>
      </c>
    </row>
    <row r="5" spans="1:2" x14ac:dyDescent="0.35">
      <c r="B5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C39-635C-42D9-9E38-479A14E0B512}">
  <dimension ref="A1:B25"/>
  <sheetViews>
    <sheetView workbookViewId="0">
      <selection activeCell="D27" sqref="D27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32</v>
      </c>
      <c r="B1" t="s">
        <v>33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>A2+1</f>
        <v>2</v>
      </c>
      <c r="B3" s="3">
        <f>[1]RFR_spot_no_VA!AJ12</f>
        <v>4.0439999999999997E-2</v>
      </c>
    </row>
    <row r="4" spans="1:2" x14ac:dyDescent="0.35">
      <c r="A4">
        <f t="shared" ref="A4:A25" si="0">A3+1</f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47A3-8E46-493C-8B29-AF20CD0F3751}">
  <dimension ref="A1:H25"/>
  <sheetViews>
    <sheetView topLeftCell="D6" workbookViewId="0">
      <selection activeCell="H7" sqref="H7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32</v>
      </c>
      <c r="B1" t="s">
        <v>2</v>
      </c>
      <c r="C1" t="s">
        <v>3</v>
      </c>
      <c r="D1" t="s">
        <v>4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ref="A4:A25" si="0">A3+1</f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Underwriting</vt:lpstr>
      <vt:lpstr>Reserve</vt:lpstr>
      <vt:lpstr>Market</vt:lpstr>
      <vt:lpstr>Market_Correlation</vt:lpstr>
      <vt:lpstr>Credit</vt:lpstr>
      <vt:lpstr>Operational</vt:lpstr>
      <vt:lpstr>Reinsurance</vt:lpstr>
      <vt:lpstr>Cat Reinsurance</vt:lpstr>
      <vt:lpstr>Correlation Matrix</vt:lpstr>
      <vt:lpstr>Correlation Inputs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2025-04-26T19:06:04Z</dcterms:created>
  <dcterms:modified xsi:type="dcterms:W3CDTF">2025-08-02T08:49:22Z</dcterms:modified>
</cp:coreProperties>
</file>