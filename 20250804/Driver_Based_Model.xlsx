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india-my.sharepoint.com/personal/garvit_nagpal_in_ey_com/Documents/Desktop/Python/20250707/"/>
    </mc:Choice>
  </mc:AlternateContent>
  <xr:revisionPtr revIDLastSave="49" documentId="13_ncr:1_{0DE07B2E-A656-4E5D-B1CB-36C6E31DFBCD}" xr6:coauthVersionLast="47" xr6:coauthVersionMax="47" xr10:uidLastSave="{8E60E90A-BD81-4094-B9F9-2E85BA5A701B}"/>
  <bookViews>
    <workbookView xWindow="-110" yWindow="-110" windowWidth="19420" windowHeight="10300" firstSheet="9" activeTab="9" xr2:uid="{00000000-000D-0000-FFFF-FFFF00000000}"/>
  </bookViews>
  <sheets>
    <sheet name="Underwriting" sheetId="1" r:id="rId1"/>
    <sheet name="Reserve" sheetId="2" r:id="rId2"/>
    <sheet name="Credit_Operational_CAT" sheetId="5" r:id="rId3"/>
    <sheet name="Market" sheetId="6" r:id="rId4"/>
    <sheet name="Market_Correlation" sheetId="21" r:id="rId5"/>
    <sheet name="Market_Class_Impact" sheetId="7" r:id="rId6"/>
    <sheet name="Credit_Operational_Market_EC" sheetId="8" r:id="rId7"/>
    <sheet name="Credit" sheetId="9" r:id="rId8"/>
    <sheet name="Operational" sheetId="10" r:id="rId9"/>
    <sheet name="Underwriting_Cycle" sheetId="11" r:id="rId10"/>
    <sheet name="Underwriting_Cycle_Class" sheetId="12" r:id="rId11"/>
    <sheet name="Credit_Operational_UC" sheetId="13" r:id="rId12"/>
    <sheet name="Inflation_Class" sheetId="15" r:id="rId13"/>
    <sheet name="Reinsurance" sheetId="16" r:id="rId14"/>
    <sheet name="Cat Reinsurance" sheetId="22" r:id="rId15"/>
    <sheet name="Expense Inputs" sheetId="17" r:id="rId16"/>
    <sheet name="Yield Curve" sheetId="18" r:id="rId17"/>
    <sheet name="Payment Pattern" sheetId="19" r:id="rId18"/>
  </sheets>
  <externalReferences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F4" i="1" s="1"/>
  <c r="D3" i="1"/>
  <c r="E3" i="1" s="1"/>
  <c r="F3" i="1" s="1"/>
  <c r="D2" i="1"/>
  <c r="E2" i="1" s="1"/>
  <c r="F2" i="1" s="1"/>
  <c r="B2" i="11"/>
  <c r="B1" i="21" a="1"/>
  <c r="B1" i="21" s="1"/>
  <c r="A3" i="19"/>
  <c r="A4" i="19"/>
  <c r="A5" i="19"/>
  <c r="A6" i="19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B2" i="18"/>
  <c r="A3" i="18"/>
  <c r="B3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<sst xmlns="http://schemas.openxmlformats.org/spreadsheetml/2006/main" count="191" uniqueCount="86">
  <si>
    <t>lob</t>
  </si>
  <si>
    <t>Gamma_Alpha_Parameter</t>
  </si>
  <si>
    <t>Gamma_Theta_Parameter</t>
  </si>
  <si>
    <t>Specialty</t>
  </si>
  <si>
    <t>Property</t>
  </si>
  <si>
    <t>Liability</t>
  </si>
  <si>
    <t>parameter_name</t>
  </si>
  <si>
    <t>value</t>
  </si>
  <si>
    <t>main_category</t>
  </si>
  <si>
    <t>economic_cycle</t>
  </si>
  <si>
    <t>currency_exchange_rate</t>
  </si>
  <si>
    <t>mu</t>
  </si>
  <si>
    <t>sigma</t>
  </si>
  <si>
    <t>alpha</t>
  </si>
  <si>
    <t>beta</t>
  </si>
  <si>
    <t>Economic_Cycle_Impact</t>
  </si>
  <si>
    <t>Currency_Exchange_Impact</t>
  </si>
  <si>
    <t>probability_of_default</t>
  </si>
  <si>
    <t>loss_given_default</t>
  </si>
  <si>
    <t>high_quality</t>
  </si>
  <si>
    <t>medium_quality</t>
  </si>
  <si>
    <t>low_quality</t>
  </si>
  <si>
    <t>frequency_lambda</t>
  </si>
  <si>
    <t>severity_mean</t>
  </si>
  <si>
    <t>severity_stddev</t>
  </si>
  <si>
    <t>Underwriting_Cycle_mu</t>
  </si>
  <si>
    <t>Underwriting_Cycle_sigma</t>
  </si>
  <si>
    <t>Underwriting_Cycle_Impact</t>
  </si>
  <si>
    <t>Inflation_Impact</t>
  </si>
  <si>
    <t>Quota_Share</t>
  </si>
  <si>
    <t>CAT_XoL_Retention</t>
  </si>
  <si>
    <t>CAT_XoL_Limit</t>
  </si>
  <si>
    <t>Credit_Impact_CAT_Threshold</t>
  </si>
  <si>
    <t>Operational_Impact_CAT_Threshold</t>
  </si>
  <si>
    <t>Credit_Impact_CAT</t>
  </si>
  <si>
    <t>Operational_Impact_CAT</t>
  </si>
  <si>
    <t>Credit_Impact_EC_Threshold</t>
  </si>
  <si>
    <t>Operational_Impact_EC_Threshold</t>
  </si>
  <si>
    <t>Credit_Impact_EC</t>
  </si>
  <si>
    <t>Operational_Impact_EC</t>
  </si>
  <si>
    <t>Credit_Impact_UC_Threshold</t>
  </si>
  <si>
    <t>Operational_Impact_UC_Threshold</t>
  </si>
  <si>
    <t>Credit_Impact_UC</t>
  </si>
  <si>
    <t>Operational_Impact_UC</t>
  </si>
  <si>
    <t>Expense_mu</t>
  </si>
  <si>
    <t>Expense_sigma</t>
  </si>
  <si>
    <t>Yield_Curve</t>
  </si>
  <si>
    <t>Year</t>
  </si>
  <si>
    <t>Market_Impact_EC_Threshold</t>
  </si>
  <si>
    <t>Market_Impact_EC</t>
  </si>
  <si>
    <t>interest_rate</t>
  </si>
  <si>
    <t>volatility</t>
  </si>
  <si>
    <t>equity_price</t>
  </si>
  <si>
    <t>initial_assets</t>
  </si>
  <si>
    <t>Reserve_Mean</t>
  </si>
  <si>
    <t>Reserve_Sigma</t>
  </si>
  <si>
    <t>credit_spread</t>
  </si>
  <si>
    <t>Net Premium</t>
  </si>
  <si>
    <t>mean</t>
  </si>
  <si>
    <t>asset_risk_factor_sensitivity</t>
  </si>
  <si>
    <t>reinsurer_rating</t>
  </si>
  <si>
    <t>reinsurer1</t>
  </si>
  <si>
    <t>reinsurer2</t>
  </si>
  <si>
    <t>reinsurer3</t>
  </si>
  <si>
    <t>reinsurer4</t>
  </si>
  <si>
    <t>reinsurer5</t>
  </si>
  <si>
    <t>reinsurer6</t>
  </si>
  <si>
    <t>reinsurer7</t>
  </si>
  <si>
    <t>reinsurer8</t>
  </si>
  <si>
    <t>reinsurer9</t>
  </si>
  <si>
    <t>reinsurer10</t>
  </si>
  <si>
    <t>reinsurer_share</t>
  </si>
  <si>
    <t>interest_rate_changes</t>
  </si>
  <si>
    <t>equity_price_changes</t>
  </si>
  <si>
    <t>currency_exchange_rate_changes</t>
  </si>
  <si>
    <t>layer</t>
  </si>
  <si>
    <t>Layer 1</t>
  </si>
  <si>
    <t>Layer 2</t>
  </si>
  <si>
    <t>Layer 3</t>
  </si>
  <si>
    <t>Layer 4</t>
  </si>
  <si>
    <t>economic_cycle_changes</t>
  </si>
  <si>
    <t>inflation_changes</t>
  </si>
  <si>
    <t>inflation_change</t>
  </si>
  <si>
    <t>Mean LR</t>
  </si>
  <si>
    <t>CoV LR</t>
  </si>
  <si>
    <t>Reserve 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</si>
</sst>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  <xf numFmtId="165" fontId="0" fillId="0" borderId="0" xfId="1" applyNumberFormat="1" applyFont="1"/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3" applyNumberFormat="1" applyFont="1"/>
    <xf numFmtId="10" fontId="0" fillId="0" borderId="0" xfId="2" applyNumberFormat="1" applyFont="1"/>
    <xf numFmtId="0" fontId="3" fillId="0" borderId="0" xfId="0" applyFont="1"/>
    <xf numFmtId="9" fontId="0" fillId="0" borderId="0" xfId="2" applyFont="1"/>
    <xf numFmtId="166" fontId="0" fillId="0" borderId="0" xfId="2" applyNumberFormat="1" applyFont="1"/>
  </cellXfs>
  <cellStyles count="4">
    <cellStyle name="Comma" xfId="1" builtinId="3"/>
    <cellStyle name="Comma 2" xfId="3" xr:uid="{E3117B45-9F2F-4187-B39D-0515C465CACE}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\Ascot%20Underwriting\2025\Q1\Data\2025%2003\SII\risk-free-curves-31-mar-2025.xlsx" TargetMode="External"/><Relationship Id="rId1" Type="http://schemas.openxmlformats.org/officeDocument/2006/relationships/externalLinkPath" Target="file:///H:\A\Ascot%20Underwriting\2025\Q1\Data\2025%2003\SII\risk-free-curves-31-mar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Menu"/>
      <sheetName val="README-Production Notes"/>
      <sheetName val="RFR_spot_no_VA"/>
      <sheetName val="RFR_spot_with_VA"/>
      <sheetName val="Spot_NO_VA_shock_UP"/>
      <sheetName val="Spot_NO_VA_shock_DOWN"/>
      <sheetName val="Spot_WITH_VA_shock_UP"/>
      <sheetName val="Spot_WITH_VA_shock_DOWN"/>
      <sheetName val="Shocks"/>
      <sheetName val="VA"/>
      <sheetName val="Disclaimers"/>
    </sheetNames>
    <sheetDataSet>
      <sheetData sheetId="0" refreshError="1"/>
      <sheetData sheetId="1" refreshError="1"/>
      <sheetData sheetId="2">
        <row r="11">
          <cell r="AJ11">
            <v>4.1849999999999998E-2</v>
          </cell>
        </row>
        <row r="12">
          <cell r="AJ12">
            <v>4.0439999999999997E-2</v>
          </cell>
        </row>
        <row r="13">
          <cell r="AJ13">
            <v>4.002E-2</v>
          </cell>
        </row>
        <row r="14">
          <cell r="AJ14">
            <v>3.9940000000000003E-2</v>
          </cell>
        </row>
        <row r="15">
          <cell r="AJ15">
            <v>3.9989999999999998E-2</v>
          </cell>
        </row>
        <row r="16">
          <cell r="AJ16">
            <v>4.0189999999999997E-2</v>
          </cell>
        </row>
        <row r="17">
          <cell r="AJ17">
            <v>4.0529999999999997E-2</v>
          </cell>
        </row>
        <row r="18">
          <cell r="AJ18">
            <v>4.0919999999999998E-2</v>
          </cell>
        </row>
        <row r="19">
          <cell r="AJ19">
            <v>4.1360000000000001E-2</v>
          </cell>
        </row>
        <row r="20">
          <cell r="AJ20">
            <v>4.1840000000000002E-2</v>
          </cell>
        </row>
        <row r="21">
          <cell r="AJ21">
            <v>4.2320000000000003E-2</v>
          </cell>
        </row>
        <row r="22">
          <cell r="AJ22">
            <v>4.2799999999999998E-2</v>
          </cell>
        </row>
        <row r="23">
          <cell r="AJ23">
            <v>4.3240000000000001E-2</v>
          </cell>
        </row>
        <row r="24">
          <cell r="AJ24">
            <v>4.3639999999999998E-2</v>
          </cell>
        </row>
        <row r="25">
          <cell r="AJ25">
            <v>4.3990000000000001E-2</v>
          </cell>
        </row>
        <row r="26">
          <cell r="AJ26">
            <v>4.4290000000000003E-2</v>
          </cell>
        </row>
        <row r="27">
          <cell r="AJ27">
            <v>4.4540000000000003E-2</v>
          </cell>
        </row>
        <row r="28">
          <cell r="AJ28">
            <v>4.4740000000000002E-2</v>
          </cell>
        </row>
        <row r="29">
          <cell r="AJ29">
            <v>4.4909999999999999E-2</v>
          </cell>
        </row>
        <row r="30">
          <cell r="AJ30">
            <v>4.5039999999999997E-2</v>
          </cell>
        </row>
        <row r="31">
          <cell r="AJ31">
            <v>4.514E-2</v>
          </cell>
        </row>
        <row r="32">
          <cell r="AJ32">
            <v>4.521E-2</v>
          </cell>
        </row>
        <row r="33">
          <cell r="AJ33">
            <v>4.5249999999999999E-2</v>
          </cell>
        </row>
        <row r="34">
          <cell r="AJ34">
            <v>4.5249999999999999E-2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D4" sqref="D4"/>
    </sheetView>
  </sheetViews>
  <sheetFormatPr defaultRowHeight="14.5" x14ac:dyDescent="0.35"/>
  <cols>
    <col min="2" max="2" width="14.26953125" bestFit="1" customWidth="1"/>
    <col min="3" max="3" width="12" bestFit="1" customWidth="1"/>
    <col min="5" max="5" width="12" bestFit="1" customWidth="1"/>
    <col min="6" max="6" width="15.453125" bestFit="1" customWidth="1"/>
  </cols>
  <sheetData>
    <row r="1" spans="1:6" x14ac:dyDescent="0.35">
      <c r="A1" s="1" t="s">
        <v>0</v>
      </c>
      <c r="B1" s="1" t="s">
        <v>57</v>
      </c>
      <c r="C1" s="5" t="s">
        <v>83</v>
      </c>
      <c r="D1" s="5" t="s">
        <v>84</v>
      </c>
      <c r="E1" s="1" t="s">
        <v>1</v>
      </c>
      <c r="F1" s="1" t="s">
        <v>2</v>
      </c>
    </row>
    <row r="2" spans="1:6" x14ac:dyDescent="0.35">
      <c r="A2" t="s">
        <v>3</v>
      </c>
      <c r="B2" s="4">
        <v>188700000</v>
      </c>
      <c r="C2" s="11">
        <v>0.5</v>
      </c>
      <c r="D2" s="10">
        <f>SQRT(0.5^2-0.25^2)</f>
        <v>0.4330127018922193</v>
      </c>
      <c r="E2">
        <f>1/D2^2</f>
        <v>5.3333333333333339</v>
      </c>
      <c r="F2" s="6">
        <f>C2*B2/E2</f>
        <v>17690624.999999996</v>
      </c>
    </row>
    <row r="3" spans="1:6" x14ac:dyDescent="0.35">
      <c r="A3" t="s">
        <v>4</v>
      </c>
      <c r="B3" s="4">
        <v>305000000</v>
      </c>
      <c r="C3" s="11">
        <v>0.6</v>
      </c>
      <c r="D3" s="10">
        <f>SQRT(0.38^2-0.25^2)</f>
        <v>0.2861817604250837</v>
      </c>
      <c r="E3">
        <f t="shared" ref="E3:E4" si="0">1/D3^2</f>
        <v>12.210012210012209</v>
      </c>
      <c r="F3" s="6">
        <f>C3*B3/E3</f>
        <v>14987700</v>
      </c>
    </row>
    <row r="4" spans="1:6" x14ac:dyDescent="0.35">
      <c r="A4" t="s">
        <v>5</v>
      </c>
      <c r="B4" s="4">
        <v>188700000</v>
      </c>
      <c r="C4" s="11">
        <v>0.7</v>
      </c>
      <c r="D4" s="10">
        <f>SQRT(0.38^2-0.25^2)</f>
        <v>0.2861817604250837</v>
      </c>
      <c r="E4">
        <f t="shared" si="0"/>
        <v>12.210012210012209</v>
      </c>
      <c r="F4" s="6">
        <f>C4*B4/E4</f>
        <v>10818171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E4" sqref="E4"/>
    </sheetView>
  </sheetViews>
  <sheetFormatPr defaultRowHeight="14.5" x14ac:dyDescent="0.35"/>
  <cols>
    <col min="1" max="1" width="10.81640625" bestFit="1" customWidth="1"/>
    <col min="2" max="2" width="14.453125" bestFit="1" customWidth="1"/>
    <col min="3" max="3" width="14.54296875" bestFit="1" customWidth="1"/>
  </cols>
  <sheetData>
    <row r="1" spans="1:4" x14ac:dyDescent="0.35">
      <c r="A1" s="1" t="s">
        <v>0</v>
      </c>
      <c r="B1" s="1" t="s">
        <v>54</v>
      </c>
      <c r="C1" s="1" t="s">
        <v>55</v>
      </c>
      <c r="D1" s="5" t="s">
        <v>85</v>
      </c>
    </row>
    <row r="2" spans="1:4" x14ac:dyDescent="0.35">
      <c r="A2" t="s">
        <v>3</v>
      </c>
      <c r="B2" s="4">
        <v>200000000</v>
      </c>
      <c r="C2">
        <v>0.1</v>
      </c>
    </row>
    <row r="3" spans="1:4" x14ac:dyDescent="0.35">
      <c r="A3" t="s">
        <v>4</v>
      </c>
      <c r="B3" s="4">
        <v>100000000</v>
      </c>
      <c r="C3">
        <v>0.05</v>
      </c>
    </row>
    <row r="4" spans="1:4" x14ac:dyDescent="0.35">
      <c r="A4" t="s">
        <v>5</v>
      </c>
      <c r="B4" s="4">
        <v>400000000</v>
      </c>
      <c r="C4">
        <v>0.15</v>
      </c>
    </row>
    <row r="5" spans="1:4" x14ac:dyDescent="0.35">
      <c r="B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zoomScale="83" workbookViewId="0">
      <selection activeCell="C1" sqref="C1"/>
    </sheetView>
  </sheetViews>
  <sheetFormatPr defaultRowHeight="14.5" x14ac:dyDescent="0.35"/>
  <cols>
    <col min="1" max="1" width="33.54296875" bestFit="1" customWidth="1"/>
    <col min="2" max="2" width="15.26953125" bestFit="1" customWidth="1"/>
    <col min="3" max="3" width="18.1796875" bestFit="1" customWidth="1"/>
    <col min="4" max="4" width="23.453125" bestFit="1" customWidth="1"/>
  </cols>
  <sheetData>
    <row r="1" spans="1:4" x14ac:dyDescent="0.35">
      <c r="A1" s="1" t="s">
        <v>6</v>
      </c>
      <c r="B1" s="1" t="s">
        <v>7</v>
      </c>
      <c r="C1" s="1" t="s">
        <v>34</v>
      </c>
      <c r="D1" s="1" t="s">
        <v>35</v>
      </c>
    </row>
    <row r="2" spans="1:4" x14ac:dyDescent="0.35">
      <c r="A2" t="s">
        <v>32</v>
      </c>
      <c r="B2" s="4">
        <v>100000000</v>
      </c>
      <c r="C2">
        <v>0.5</v>
      </c>
      <c r="D2">
        <v>0.5</v>
      </c>
    </row>
    <row r="3" spans="1:4" x14ac:dyDescent="0.35">
      <c r="A3" t="s">
        <v>33</v>
      </c>
      <c r="B3" s="4">
        <v>100000000</v>
      </c>
      <c r="C3">
        <v>1.5</v>
      </c>
      <c r="D3">
        <v>1.5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zoomScale="60" zoomScaleNormal="160" workbookViewId="0">
      <selection activeCell="A2" sqref="A2:C3"/>
    </sheetView>
  </sheetViews>
  <sheetFormatPr defaultRowHeight="14.5" x14ac:dyDescent="0.35"/>
  <cols>
    <col min="1" max="1" width="26.54296875" bestFit="1" customWidth="1"/>
    <col min="3" max="3" width="15.26953125" bestFit="1" customWidth="1"/>
  </cols>
  <sheetData>
    <row r="1" spans="1:3" x14ac:dyDescent="0.35">
      <c r="A1" s="1" t="s">
        <v>8</v>
      </c>
      <c r="B1" s="1" t="s">
        <v>6</v>
      </c>
      <c r="C1" s="1" t="s">
        <v>7</v>
      </c>
    </row>
    <row r="2" spans="1:3" x14ac:dyDescent="0.35">
      <c r="A2" t="s">
        <v>9</v>
      </c>
      <c r="B2" t="s">
        <v>11</v>
      </c>
      <c r="C2">
        <v>0</v>
      </c>
    </row>
    <row r="3" spans="1:3" x14ac:dyDescent="0.35">
      <c r="A3" t="s">
        <v>9</v>
      </c>
      <c r="B3" t="s">
        <v>12</v>
      </c>
      <c r="C3">
        <v>0.02</v>
      </c>
    </row>
    <row r="4" spans="1:3" x14ac:dyDescent="0.35">
      <c r="A4" t="s">
        <v>50</v>
      </c>
      <c r="B4" t="s">
        <v>51</v>
      </c>
      <c r="C4">
        <v>0.02</v>
      </c>
    </row>
    <row r="5" spans="1:3" x14ac:dyDescent="0.35">
      <c r="A5" t="s">
        <v>50</v>
      </c>
      <c r="B5" t="s">
        <v>58</v>
      </c>
      <c r="C5">
        <v>0</v>
      </c>
    </row>
    <row r="6" spans="1:3" x14ac:dyDescent="0.35">
      <c r="A6" t="s">
        <v>52</v>
      </c>
      <c r="B6" t="s">
        <v>58</v>
      </c>
      <c r="C6">
        <v>0.1</v>
      </c>
    </row>
    <row r="7" spans="1:3" x14ac:dyDescent="0.35">
      <c r="A7" t="s">
        <v>52</v>
      </c>
      <c r="B7" t="s">
        <v>51</v>
      </c>
      <c r="C7">
        <v>0.25</v>
      </c>
    </row>
    <row r="8" spans="1:3" x14ac:dyDescent="0.35">
      <c r="A8" t="s">
        <v>10</v>
      </c>
      <c r="B8" t="s">
        <v>58</v>
      </c>
      <c r="C8">
        <v>0</v>
      </c>
    </row>
    <row r="9" spans="1:3" x14ac:dyDescent="0.35">
      <c r="A9" t="s">
        <v>10</v>
      </c>
      <c r="B9" t="s">
        <v>51</v>
      </c>
      <c r="C9">
        <v>0.3</v>
      </c>
    </row>
    <row r="10" spans="1:3" x14ac:dyDescent="0.35">
      <c r="A10" t="s">
        <v>53</v>
      </c>
      <c r="B10" t="s">
        <v>11</v>
      </c>
      <c r="C10" s="7">
        <v>400000000</v>
      </c>
    </row>
    <row r="11" spans="1:3" x14ac:dyDescent="0.35">
      <c r="A11" t="s">
        <v>56</v>
      </c>
      <c r="B11" t="s">
        <v>13</v>
      </c>
      <c r="C11">
        <v>0.5</v>
      </c>
    </row>
    <row r="12" spans="1:3" x14ac:dyDescent="0.35">
      <c r="A12" t="s">
        <v>56</v>
      </c>
      <c r="B12" t="s">
        <v>14</v>
      </c>
      <c r="C12">
        <v>0.02</v>
      </c>
    </row>
    <row r="13" spans="1:3" x14ac:dyDescent="0.35">
      <c r="A13" t="s">
        <v>59</v>
      </c>
      <c r="B13" t="s">
        <v>50</v>
      </c>
      <c r="C13">
        <v>-0.5</v>
      </c>
    </row>
    <row r="14" spans="1:3" x14ac:dyDescent="0.35">
      <c r="A14" t="s">
        <v>59</v>
      </c>
      <c r="B14" t="s">
        <v>52</v>
      </c>
      <c r="C14">
        <v>0.1</v>
      </c>
    </row>
    <row r="15" spans="1:3" x14ac:dyDescent="0.35">
      <c r="A15" t="s">
        <v>59</v>
      </c>
      <c r="B15" t="s">
        <v>10</v>
      </c>
      <c r="C15">
        <v>0.3</v>
      </c>
    </row>
    <row r="16" spans="1:3" x14ac:dyDescent="0.35">
      <c r="A16" t="s">
        <v>59</v>
      </c>
      <c r="B16" t="s">
        <v>56</v>
      </c>
      <c r="C16">
        <v>-0.3</v>
      </c>
    </row>
    <row r="17" spans="1:3" x14ac:dyDescent="0.35">
      <c r="A17" t="s">
        <v>82</v>
      </c>
      <c r="B17" t="s">
        <v>58</v>
      </c>
      <c r="C17">
        <v>0</v>
      </c>
    </row>
    <row r="18" spans="1:3" x14ac:dyDescent="0.35">
      <c r="A18" t="s">
        <v>82</v>
      </c>
      <c r="B18" t="s">
        <v>51</v>
      </c>
      <c r="C18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0D84-D1B5-48EC-99B2-019458618ED9}">
  <dimension ref="A1:G7"/>
  <sheetViews>
    <sheetView zoomScale="67" workbookViewId="0">
      <selection activeCell="C5" sqref="C5"/>
    </sheetView>
  </sheetViews>
  <sheetFormatPr defaultRowHeight="14.5" x14ac:dyDescent="0.35"/>
  <cols>
    <col min="1" max="1" width="31.453125" bestFit="1" customWidth="1"/>
    <col min="2" max="2" width="21" bestFit="1" customWidth="1"/>
    <col min="3" max="3" width="20.54296875" bestFit="1" customWidth="1"/>
    <col min="4" max="4" width="31.453125" bestFit="1" customWidth="1"/>
    <col min="5" max="5" width="13.26953125" bestFit="1" customWidth="1"/>
    <col min="6" max="6" width="23.54296875" bestFit="1" customWidth="1"/>
    <col min="7" max="7" width="16.81640625" bestFit="1" customWidth="1"/>
  </cols>
  <sheetData>
    <row r="1" spans="1:7" x14ac:dyDescent="0.35">
      <c r="B1" t="str" cm="1">
        <f t="array" ref="B1:E1">TRANSPOSE(A2:A5)</f>
        <v>interest_rate_changes</v>
      </c>
      <c r="C1" t="str">
        <v>equity_price_changes</v>
      </c>
      <c r="D1" t="str">
        <v>currency_exchange_rate_changes</v>
      </c>
      <c r="E1" t="str">
        <v>credit_spread</v>
      </c>
      <c r="F1" t="s">
        <v>80</v>
      </c>
      <c r="G1" t="s">
        <v>81</v>
      </c>
    </row>
    <row r="2" spans="1:7" x14ac:dyDescent="0.35">
      <c r="A2" t="s">
        <v>72</v>
      </c>
      <c r="B2">
        <v>1</v>
      </c>
    </row>
    <row r="3" spans="1:7" x14ac:dyDescent="0.35">
      <c r="A3" t="s">
        <v>73</v>
      </c>
      <c r="B3">
        <v>-0.2</v>
      </c>
      <c r="C3">
        <v>1</v>
      </c>
    </row>
    <row r="4" spans="1:7" x14ac:dyDescent="0.35">
      <c r="A4" t="s">
        <v>74</v>
      </c>
      <c r="B4">
        <v>0.2</v>
      </c>
      <c r="C4">
        <v>0.1</v>
      </c>
      <c r="D4">
        <v>1</v>
      </c>
    </row>
    <row r="5" spans="1:7" x14ac:dyDescent="0.35">
      <c r="A5" t="s">
        <v>56</v>
      </c>
      <c r="B5">
        <v>-0.3</v>
      </c>
      <c r="C5">
        <v>0.5</v>
      </c>
      <c r="D5">
        <v>0.1</v>
      </c>
      <c r="E5">
        <v>1</v>
      </c>
    </row>
    <row r="6" spans="1:7" x14ac:dyDescent="0.35">
      <c r="A6" t="s">
        <v>80</v>
      </c>
      <c r="B6">
        <v>-0.3</v>
      </c>
      <c r="C6">
        <v>0.5</v>
      </c>
      <c r="D6">
        <v>0.1</v>
      </c>
      <c r="E6">
        <v>0.9</v>
      </c>
      <c r="F6">
        <v>1</v>
      </c>
    </row>
    <row r="7" spans="1:7" x14ac:dyDescent="0.35">
      <c r="A7" t="s">
        <v>81</v>
      </c>
      <c r="B7">
        <v>-0.1</v>
      </c>
      <c r="C7">
        <v>-0.1</v>
      </c>
      <c r="D7">
        <v>0.2</v>
      </c>
      <c r="E7">
        <v>0.1</v>
      </c>
      <c r="F7">
        <v>0.1</v>
      </c>
      <c r="G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B4" sqref="B4"/>
    </sheetView>
  </sheetViews>
  <sheetFormatPr defaultRowHeight="14.5" x14ac:dyDescent="0.35"/>
  <cols>
    <col min="2" max="2" width="22.54296875" bestFit="1" customWidth="1"/>
    <col min="3" max="3" width="25.7265625" bestFit="1" customWidth="1"/>
  </cols>
  <sheetData>
    <row r="1" spans="1:3" x14ac:dyDescent="0.35">
      <c r="A1" s="1" t="s">
        <v>0</v>
      </c>
      <c r="B1" s="1" t="s">
        <v>15</v>
      </c>
      <c r="C1" s="1" t="s">
        <v>16</v>
      </c>
    </row>
    <row r="2" spans="1:3" x14ac:dyDescent="0.35">
      <c r="A2" t="s">
        <v>3</v>
      </c>
      <c r="B2">
        <v>-1</v>
      </c>
      <c r="C2">
        <v>0</v>
      </c>
    </row>
    <row r="3" spans="1:3" x14ac:dyDescent="0.35">
      <c r="A3" t="s">
        <v>4</v>
      </c>
      <c r="B3">
        <v>-0.5</v>
      </c>
      <c r="C3">
        <v>0</v>
      </c>
    </row>
    <row r="4" spans="1:3" x14ac:dyDescent="0.35">
      <c r="A4" t="s">
        <v>5</v>
      </c>
      <c r="B4">
        <v>-1</v>
      </c>
      <c r="C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zoomScale="70" workbookViewId="0">
      <selection activeCell="C5" sqref="C5"/>
    </sheetView>
  </sheetViews>
  <sheetFormatPr defaultRowHeight="14.5" x14ac:dyDescent="0.35"/>
  <cols>
    <col min="1" max="1" width="26.453125" bestFit="1" customWidth="1"/>
    <col min="2" max="2" width="13.7265625" customWidth="1"/>
    <col min="3" max="3" width="16.7265625" bestFit="1" customWidth="1"/>
  </cols>
  <sheetData>
    <row r="1" spans="1:5" x14ac:dyDescent="0.35">
      <c r="A1" s="1" t="s">
        <v>6</v>
      </c>
      <c r="B1" s="1" t="s">
        <v>7</v>
      </c>
      <c r="C1" s="1" t="s">
        <v>38</v>
      </c>
      <c r="D1" s="1" t="s">
        <v>39</v>
      </c>
      <c r="E1" s="1" t="s">
        <v>49</v>
      </c>
    </row>
    <row r="2" spans="1:5" x14ac:dyDescent="0.35">
      <c r="A2" t="s">
        <v>36</v>
      </c>
      <c r="B2">
        <v>-0.02</v>
      </c>
      <c r="C2">
        <v>0.8</v>
      </c>
      <c r="D2">
        <v>0.8</v>
      </c>
      <c r="E2">
        <v>0.8</v>
      </c>
    </row>
    <row r="3" spans="1:5" x14ac:dyDescent="0.35">
      <c r="A3" t="s">
        <v>37</v>
      </c>
      <c r="B3">
        <v>-0.02</v>
      </c>
      <c r="C3">
        <v>2</v>
      </c>
      <c r="D3">
        <v>2</v>
      </c>
      <c r="E3">
        <v>2</v>
      </c>
    </row>
    <row r="4" spans="1:5" x14ac:dyDescent="0.35">
      <c r="A4" t="s">
        <v>48</v>
      </c>
      <c r="B4">
        <v>-0.02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"/>
  <sheetViews>
    <sheetView zoomScale="56" zoomScaleNormal="70" workbookViewId="0">
      <selection activeCell="F26" sqref="F26"/>
    </sheetView>
  </sheetViews>
  <sheetFormatPr defaultRowHeight="14.5" x14ac:dyDescent="0.35"/>
  <cols>
    <col min="1" max="1" width="21.453125" bestFit="1" customWidth="1"/>
    <col min="2" max="2" width="16.453125" bestFit="1" customWidth="1"/>
    <col min="3" max="3" width="15.7265625" bestFit="1" customWidth="1"/>
  </cols>
  <sheetData>
    <row r="1" spans="1:9" x14ac:dyDescent="0.35">
      <c r="A1" s="1" t="s">
        <v>8</v>
      </c>
      <c r="B1" s="1" t="s">
        <v>6</v>
      </c>
      <c r="C1" s="1" t="s">
        <v>7</v>
      </c>
    </row>
    <row r="2" spans="1:9" x14ac:dyDescent="0.35">
      <c r="A2" t="s">
        <v>17</v>
      </c>
      <c r="B2" t="s">
        <v>19</v>
      </c>
      <c r="C2" s="8">
        <v>2.0000000000000001E-4</v>
      </c>
    </row>
    <row r="3" spans="1:9" x14ac:dyDescent="0.35">
      <c r="A3" t="s">
        <v>17</v>
      </c>
      <c r="B3" t="s">
        <v>20</v>
      </c>
      <c r="C3" s="8">
        <v>5.0000000000000001E-4</v>
      </c>
    </row>
    <row r="4" spans="1:9" x14ac:dyDescent="0.35">
      <c r="A4" t="s">
        <v>17</v>
      </c>
      <c r="B4" t="s">
        <v>21</v>
      </c>
      <c r="C4" s="8">
        <v>0.1</v>
      </c>
    </row>
    <row r="5" spans="1:9" x14ac:dyDescent="0.35">
      <c r="A5" t="s">
        <v>18</v>
      </c>
      <c r="B5" t="s">
        <v>13</v>
      </c>
      <c r="C5">
        <v>0.8</v>
      </c>
    </row>
    <row r="6" spans="1:9" x14ac:dyDescent="0.35">
      <c r="A6" t="s">
        <v>18</v>
      </c>
      <c r="B6" t="s">
        <v>14</v>
      </c>
      <c r="C6">
        <v>0.8</v>
      </c>
    </row>
    <row r="7" spans="1:9" x14ac:dyDescent="0.35">
      <c r="A7" t="s">
        <v>60</v>
      </c>
      <c r="B7" t="s">
        <v>61</v>
      </c>
      <c r="C7" t="s">
        <v>19</v>
      </c>
    </row>
    <row r="8" spans="1:9" x14ac:dyDescent="0.35">
      <c r="A8" t="s">
        <v>60</v>
      </c>
      <c r="B8" t="s">
        <v>62</v>
      </c>
      <c r="C8" t="s">
        <v>19</v>
      </c>
    </row>
    <row r="9" spans="1:9" x14ac:dyDescent="0.35">
      <c r="A9" t="s">
        <v>60</v>
      </c>
      <c r="B9" t="s">
        <v>63</v>
      </c>
      <c r="C9" t="s">
        <v>19</v>
      </c>
    </row>
    <row r="10" spans="1:9" x14ac:dyDescent="0.35">
      <c r="A10" t="s">
        <v>60</v>
      </c>
      <c r="B10" t="s">
        <v>64</v>
      </c>
      <c r="C10" t="s">
        <v>19</v>
      </c>
    </row>
    <row r="11" spans="1:9" x14ac:dyDescent="0.35">
      <c r="A11" t="s">
        <v>60</v>
      </c>
      <c r="B11" t="s">
        <v>65</v>
      </c>
      <c r="C11" t="s">
        <v>19</v>
      </c>
    </row>
    <row r="12" spans="1:9" x14ac:dyDescent="0.35">
      <c r="A12" t="s">
        <v>60</v>
      </c>
      <c r="B12" t="s">
        <v>66</v>
      </c>
      <c r="C12" t="s">
        <v>19</v>
      </c>
    </row>
    <row r="13" spans="1:9" x14ac:dyDescent="0.35">
      <c r="A13" t="s">
        <v>60</v>
      </c>
      <c r="B13" t="s">
        <v>67</v>
      </c>
      <c r="C13" t="s">
        <v>20</v>
      </c>
    </row>
    <row r="14" spans="1:9" x14ac:dyDescent="0.35">
      <c r="A14" t="s">
        <v>60</v>
      </c>
      <c r="B14" t="s">
        <v>68</v>
      </c>
      <c r="C14" t="s">
        <v>20</v>
      </c>
    </row>
    <row r="15" spans="1:9" x14ac:dyDescent="0.35">
      <c r="A15" t="s">
        <v>60</v>
      </c>
      <c r="B15" t="s">
        <v>69</v>
      </c>
      <c r="C15" t="s">
        <v>20</v>
      </c>
    </row>
    <row r="16" spans="1:9" x14ac:dyDescent="0.35">
      <c r="A16" t="s">
        <v>60</v>
      </c>
      <c r="B16" t="s">
        <v>70</v>
      </c>
      <c r="C16" t="s">
        <v>21</v>
      </c>
      <c r="I16" s="2"/>
    </row>
    <row r="17" spans="1:9" x14ac:dyDescent="0.35">
      <c r="A17" t="s">
        <v>71</v>
      </c>
      <c r="B17" t="s">
        <v>61</v>
      </c>
      <c r="C17">
        <v>0.1</v>
      </c>
    </row>
    <row r="18" spans="1:9" x14ac:dyDescent="0.35">
      <c r="A18" t="s">
        <v>71</v>
      </c>
      <c r="B18" t="s">
        <v>62</v>
      </c>
      <c r="C18">
        <v>0.1</v>
      </c>
    </row>
    <row r="19" spans="1:9" x14ac:dyDescent="0.35">
      <c r="A19" t="s">
        <v>71</v>
      </c>
      <c r="B19" t="s">
        <v>63</v>
      </c>
      <c r="C19">
        <v>0.1</v>
      </c>
      <c r="I19" s="2"/>
    </row>
    <row r="20" spans="1:9" x14ac:dyDescent="0.35">
      <c r="A20" t="s">
        <v>71</v>
      </c>
      <c r="B20" t="s">
        <v>64</v>
      </c>
      <c r="C20">
        <v>0.1</v>
      </c>
    </row>
    <row r="21" spans="1:9" x14ac:dyDescent="0.35">
      <c r="A21" t="s">
        <v>71</v>
      </c>
      <c r="B21" t="s">
        <v>65</v>
      </c>
      <c r="C21">
        <v>0.1</v>
      </c>
    </row>
    <row r="22" spans="1:9" x14ac:dyDescent="0.35">
      <c r="A22" t="s">
        <v>71</v>
      </c>
      <c r="B22" t="s">
        <v>66</v>
      </c>
      <c r="C22">
        <v>0.1</v>
      </c>
    </row>
    <row r="23" spans="1:9" x14ac:dyDescent="0.35">
      <c r="A23" t="s">
        <v>71</v>
      </c>
      <c r="B23" t="s">
        <v>67</v>
      </c>
      <c r="C23">
        <v>0.1</v>
      </c>
    </row>
    <row r="24" spans="1:9" x14ac:dyDescent="0.35">
      <c r="A24" t="s">
        <v>71</v>
      </c>
      <c r="B24" t="s">
        <v>68</v>
      </c>
      <c r="C24">
        <v>0.1</v>
      </c>
    </row>
    <row r="25" spans="1:9" x14ac:dyDescent="0.35">
      <c r="A25" t="s">
        <v>71</v>
      </c>
      <c r="B25" t="s">
        <v>69</v>
      </c>
      <c r="C25">
        <v>0.1</v>
      </c>
      <c r="G25" s="2"/>
      <c r="H25" s="2"/>
      <c r="I25" s="2"/>
    </row>
    <row r="26" spans="1:9" x14ac:dyDescent="0.35">
      <c r="A26" t="s">
        <v>71</v>
      </c>
      <c r="B26" t="s">
        <v>70</v>
      </c>
      <c r="C26">
        <v>0.1</v>
      </c>
    </row>
    <row r="28" spans="1:9" x14ac:dyDescent="0.35">
      <c r="G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activeCell="H4" sqref="H4"/>
    </sheetView>
  </sheetViews>
  <sheetFormatPr defaultRowHeight="14.5" x14ac:dyDescent="0.35"/>
  <sheetData>
    <row r="1" spans="1:2" x14ac:dyDescent="0.35">
      <c r="A1" s="1" t="s">
        <v>6</v>
      </c>
      <c r="B1" s="1" t="s">
        <v>7</v>
      </c>
    </row>
    <row r="2" spans="1:2" x14ac:dyDescent="0.35">
      <c r="A2" t="s">
        <v>22</v>
      </c>
      <c r="B2">
        <v>1</v>
      </c>
    </row>
    <row r="3" spans="1:2" x14ac:dyDescent="0.35">
      <c r="A3" t="s">
        <v>23</v>
      </c>
      <c r="B3">
        <v>15</v>
      </c>
    </row>
    <row r="4" spans="1:2" x14ac:dyDescent="0.35">
      <c r="A4" t="s">
        <v>24</v>
      </c>
      <c r="B4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tabSelected="1" workbookViewId="0">
      <selection activeCell="I3" sqref="I3"/>
    </sheetView>
  </sheetViews>
  <sheetFormatPr defaultRowHeight="14.5" x14ac:dyDescent="0.35"/>
  <cols>
    <col min="1" max="1" width="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25</v>
      </c>
      <c r="B2">
        <f>-0.5*B3^2</f>
        <v>-7.8125E-3</v>
      </c>
    </row>
    <row r="3" spans="1:2" x14ac:dyDescent="0.35">
      <c r="A3" t="s">
        <v>26</v>
      </c>
      <c r="B3">
        <v>0.125</v>
      </c>
    </row>
    <row r="7" spans="1:2" x14ac:dyDescent="0.35">
      <c r="B7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O50" sqref="O50"/>
    </sheetView>
  </sheetViews>
  <sheetFormatPr defaultRowHeight="14.5" x14ac:dyDescent="0.35"/>
  <cols>
    <col min="2" max="2" width="26.1796875" bestFit="1" customWidth="1"/>
  </cols>
  <sheetData>
    <row r="1" spans="1:2" x14ac:dyDescent="0.35">
      <c r="A1" s="1" t="s">
        <v>0</v>
      </c>
      <c r="B1" s="1" t="s">
        <v>27</v>
      </c>
    </row>
    <row r="2" spans="1:2" x14ac:dyDescent="0.35">
      <c r="A2" t="s">
        <v>3</v>
      </c>
      <c r="B2">
        <v>1</v>
      </c>
    </row>
    <row r="3" spans="1:2" x14ac:dyDescent="0.35">
      <c r="A3" t="s">
        <v>4</v>
      </c>
      <c r="B3">
        <v>1</v>
      </c>
    </row>
    <row r="4" spans="1:2" x14ac:dyDescent="0.35">
      <c r="A4" t="s">
        <v>5</v>
      </c>
      <c r="B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workbookViewId="0">
      <selection activeCell="C3" sqref="C3"/>
    </sheetView>
  </sheetViews>
  <sheetFormatPr defaultRowHeight="14.5" x14ac:dyDescent="0.35"/>
  <cols>
    <col min="1" max="1" width="32.54296875" bestFit="1" customWidth="1"/>
    <col min="3" max="3" width="17.26953125" bestFit="1" customWidth="1"/>
    <col min="4" max="4" width="22.54296875" bestFit="1" customWidth="1"/>
  </cols>
  <sheetData>
    <row r="1" spans="1:4" x14ac:dyDescent="0.35">
      <c r="A1" s="1" t="s">
        <v>6</v>
      </c>
      <c r="B1" s="1" t="s">
        <v>7</v>
      </c>
      <c r="C1" s="1" t="s">
        <v>42</v>
      </c>
      <c r="D1" s="1" t="s">
        <v>43</v>
      </c>
    </row>
    <row r="2" spans="1:4" x14ac:dyDescent="0.35">
      <c r="A2" t="s">
        <v>40</v>
      </c>
      <c r="B2">
        <v>0.02</v>
      </c>
      <c r="C2">
        <v>0.7</v>
      </c>
      <c r="D2">
        <v>0.8</v>
      </c>
    </row>
    <row r="3" spans="1:4" x14ac:dyDescent="0.35">
      <c r="A3" t="s">
        <v>41</v>
      </c>
      <c r="B3">
        <v>0.02</v>
      </c>
      <c r="C3">
        <v>2</v>
      </c>
      <c r="D3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"/>
  <sheetViews>
    <sheetView workbookViewId="0">
      <selection activeCell="C2" sqref="C2"/>
    </sheetView>
  </sheetViews>
  <sheetFormatPr defaultRowHeight="14.5" x14ac:dyDescent="0.35"/>
  <sheetData>
    <row r="1" spans="1:2" x14ac:dyDescent="0.35">
      <c r="A1" s="1" t="s">
        <v>0</v>
      </c>
      <c r="B1" s="1" t="s">
        <v>28</v>
      </c>
    </row>
    <row r="2" spans="1:2" x14ac:dyDescent="0.35">
      <c r="A2" t="s">
        <v>3</v>
      </c>
      <c r="B2" s="9">
        <v>1</v>
      </c>
    </row>
    <row r="3" spans="1:2" x14ac:dyDescent="0.35">
      <c r="A3" t="s">
        <v>4</v>
      </c>
      <c r="B3" s="9">
        <v>0.7</v>
      </c>
    </row>
    <row r="4" spans="1:2" x14ac:dyDescent="0.35">
      <c r="A4" t="s">
        <v>5</v>
      </c>
      <c r="B4" s="9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>
      <selection activeCell="A7" sqref="A7"/>
    </sheetView>
  </sheetViews>
  <sheetFormatPr defaultRowHeight="14.5" x14ac:dyDescent="0.35"/>
  <cols>
    <col min="2" max="2" width="12.453125" bestFit="1" customWidth="1"/>
  </cols>
  <sheetData>
    <row r="1" spans="1:2" x14ac:dyDescent="0.35">
      <c r="A1" s="1" t="s">
        <v>0</v>
      </c>
      <c r="B1" s="1" t="s">
        <v>29</v>
      </c>
    </row>
    <row r="2" spans="1:2" x14ac:dyDescent="0.35">
      <c r="A2" t="s">
        <v>3</v>
      </c>
      <c r="B2">
        <v>0.25</v>
      </c>
    </row>
    <row r="3" spans="1:2" x14ac:dyDescent="0.35">
      <c r="A3" t="s">
        <v>4</v>
      </c>
      <c r="B3">
        <v>0.25</v>
      </c>
    </row>
    <row r="4" spans="1:2" x14ac:dyDescent="0.35">
      <c r="A4" t="s">
        <v>5</v>
      </c>
      <c r="B4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C559-26D8-4DC7-B282-BB012F5AB4AC}">
  <dimension ref="A1:E5"/>
  <sheetViews>
    <sheetView workbookViewId="0">
      <selection activeCell="B2" sqref="B2:C5"/>
    </sheetView>
  </sheetViews>
  <sheetFormatPr defaultRowHeight="14.5" x14ac:dyDescent="0.35"/>
  <cols>
    <col min="1" max="1" width="18.7265625" bestFit="1" customWidth="1"/>
    <col min="2" max="2" width="16.81640625" bestFit="1" customWidth="1"/>
    <col min="3" max="3" width="18.81640625" bestFit="1" customWidth="1"/>
  </cols>
  <sheetData>
    <row r="1" spans="1:5" x14ac:dyDescent="0.35">
      <c r="A1" s="1" t="s">
        <v>75</v>
      </c>
      <c r="B1" s="1" t="s">
        <v>31</v>
      </c>
      <c r="C1" s="1" t="s">
        <v>30</v>
      </c>
      <c r="E1" s="1"/>
    </row>
    <row r="2" spans="1:5" x14ac:dyDescent="0.35">
      <c r="A2" s="1" t="s">
        <v>76</v>
      </c>
      <c r="B2" s="4">
        <v>100000000</v>
      </c>
      <c r="C2" s="4">
        <v>100000000</v>
      </c>
      <c r="E2" s="1"/>
    </row>
    <row r="3" spans="1:5" x14ac:dyDescent="0.35">
      <c r="A3" s="1" t="s">
        <v>77</v>
      </c>
      <c r="B3" s="4">
        <v>500000000</v>
      </c>
      <c r="C3" s="4">
        <v>200000000</v>
      </c>
    </row>
    <row r="4" spans="1:5" x14ac:dyDescent="0.35">
      <c r="A4" s="1" t="s">
        <v>78</v>
      </c>
      <c r="B4" s="4">
        <v>300000000</v>
      </c>
      <c r="C4" s="4">
        <v>700000000</v>
      </c>
    </row>
    <row r="5" spans="1:5" x14ac:dyDescent="0.35">
      <c r="A5" s="5" t="s">
        <v>79</v>
      </c>
      <c r="B5" s="4">
        <v>1000000000</v>
      </c>
      <c r="C5" s="4">
        <v>1000000000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834F-4823-49A8-91C2-CFB2B90CFB76}">
  <dimension ref="A1:B5"/>
  <sheetViews>
    <sheetView workbookViewId="0">
      <selection activeCell="B4" sqref="B4"/>
    </sheetView>
  </sheetViews>
  <sheetFormatPr defaultRowHeight="14.5" x14ac:dyDescent="0.35"/>
  <cols>
    <col min="1" max="1" width="16.4531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44</v>
      </c>
      <c r="B2">
        <v>0.1</v>
      </c>
    </row>
    <row r="3" spans="1:2" x14ac:dyDescent="0.35">
      <c r="A3" t="s">
        <v>45</v>
      </c>
      <c r="B3">
        <v>0.02</v>
      </c>
    </row>
    <row r="5" spans="1:2" x14ac:dyDescent="0.35">
      <c r="B5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4755-01F7-44E3-90D7-BE18DB9A9B01}">
  <dimension ref="A1:B25"/>
  <sheetViews>
    <sheetView workbookViewId="0">
      <selection activeCell="B1" sqref="B1"/>
    </sheetView>
  </sheetViews>
  <sheetFormatPr defaultRowHeight="14.5" x14ac:dyDescent="0.35"/>
  <cols>
    <col min="2" max="2" width="14" bestFit="1" customWidth="1"/>
  </cols>
  <sheetData>
    <row r="1" spans="1:2" x14ac:dyDescent="0.35">
      <c r="A1" t="s">
        <v>47</v>
      </c>
      <c r="B1" t="s">
        <v>46</v>
      </c>
    </row>
    <row r="2" spans="1:2" x14ac:dyDescent="0.35">
      <c r="A2">
        <v>1</v>
      </c>
      <c r="B2" s="3">
        <f>[1]RFR_spot_no_VA!AJ11</f>
        <v>4.1849999999999998E-2</v>
      </c>
    </row>
    <row r="3" spans="1:2" x14ac:dyDescent="0.35">
      <c r="A3">
        <f t="shared" ref="A3:A25" si="0">A2+1</f>
        <v>2</v>
      </c>
      <c r="B3" s="3">
        <f>[1]RFR_spot_no_VA!AJ12</f>
        <v>4.0439999999999997E-2</v>
      </c>
    </row>
    <row r="4" spans="1:2" x14ac:dyDescent="0.35">
      <c r="A4">
        <f t="shared" si="0"/>
        <v>3</v>
      </c>
      <c r="B4" s="3">
        <f>[1]RFR_spot_no_VA!AJ13</f>
        <v>4.002E-2</v>
      </c>
    </row>
    <row r="5" spans="1:2" x14ac:dyDescent="0.35">
      <c r="A5">
        <f t="shared" si="0"/>
        <v>4</v>
      </c>
      <c r="B5" s="3">
        <f>[1]RFR_spot_no_VA!AJ14</f>
        <v>3.9940000000000003E-2</v>
      </c>
    </row>
    <row r="6" spans="1:2" x14ac:dyDescent="0.35">
      <c r="A6">
        <f t="shared" si="0"/>
        <v>5</v>
      </c>
      <c r="B6" s="3">
        <f>[1]RFR_spot_no_VA!AJ15</f>
        <v>3.9989999999999998E-2</v>
      </c>
    </row>
    <row r="7" spans="1:2" x14ac:dyDescent="0.35">
      <c r="A7">
        <f t="shared" si="0"/>
        <v>6</v>
      </c>
      <c r="B7" s="3">
        <f>[1]RFR_spot_no_VA!AJ16</f>
        <v>4.0189999999999997E-2</v>
      </c>
    </row>
    <row r="8" spans="1:2" x14ac:dyDescent="0.35">
      <c r="A8">
        <f t="shared" si="0"/>
        <v>7</v>
      </c>
      <c r="B8" s="3">
        <f>[1]RFR_spot_no_VA!AJ17</f>
        <v>4.0529999999999997E-2</v>
      </c>
    </row>
    <row r="9" spans="1:2" x14ac:dyDescent="0.35">
      <c r="A9">
        <f t="shared" si="0"/>
        <v>8</v>
      </c>
      <c r="B9" s="3">
        <f>[1]RFR_spot_no_VA!AJ18</f>
        <v>4.0919999999999998E-2</v>
      </c>
    </row>
    <row r="10" spans="1:2" x14ac:dyDescent="0.35">
      <c r="A10">
        <f t="shared" si="0"/>
        <v>9</v>
      </c>
      <c r="B10" s="3">
        <f>[1]RFR_spot_no_VA!AJ19</f>
        <v>4.1360000000000001E-2</v>
      </c>
    </row>
    <row r="11" spans="1:2" x14ac:dyDescent="0.35">
      <c r="A11">
        <f t="shared" si="0"/>
        <v>10</v>
      </c>
      <c r="B11" s="3">
        <f>[1]RFR_spot_no_VA!AJ20</f>
        <v>4.1840000000000002E-2</v>
      </c>
    </row>
    <row r="12" spans="1:2" x14ac:dyDescent="0.35">
      <c r="A12">
        <f t="shared" si="0"/>
        <v>11</v>
      </c>
      <c r="B12" s="3">
        <f>[1]RFR_spot_no_VA!AJ21</f>
        <v>4.2320000000000003E-2</v>
      </c>
    </row>
    <row r="13" spans="1:2" x14ac:dyDescent="0.35">
      <c r="A13">
        <f t="shared" si="0"/>
        <v>12</v>
      </c>
      <c r="B13" s="3">
        <f>[1]RFR_spot_no_VA!AJ22</f>
        <v>4.2799999999999998E-2</v>
      </c>
    </row>
    <row r="14" spans="1:2" x14ac:dyDescent="0.35">
      <c r="A14">
        <f t="shared" si="0"/>
        <v>13</v>
      </c>
      <c r="B14" s="3">
        <f>[1]RFR_spot_no_VA!AJ23</f>
        <v>4.3240000000000001E-2</v>
      </c>
    </row>
    <row r="15" spans="1:2" x14ac:dyDescent="0.35">
      <c r="A15">
        <f t="shared" si="0"/>
        <v>14</v>
      </c>
      <c r="B15" s="3">
        <f>[1]RFR_spot_no_VA!AJ24</f>
        <v>4.3639999999999998E-2</v>
      </c>
    </row>
    <row r="16" spans="1:2" x14ac:dyDescent="0.35">
      <c r="A16">
        <f t="shared" si="0"/>
        <v>15</v>
      </c>
      <c r="B16" s="3">
        <f>[1]RFR_spot_no_VA!AJ25</f>
        <v>4.3990000000000001E-2</v>
      </c>
    </row>
    <row r="17" spans="1:2" x14ac:dyDescent="0.35">
      <c r="A17">
        <f t="shared" si="0"/>
        <v>16</v>
      </c>
      <c r="B17" s="3">
        <f>[1]RFR_spot_no_VA!AJ26</f>
        <v>4.4290000000000003E-2</v>
      </c>
    </row>
    <row r="18" spans="1:2" x14ac:dyDescent="0.35">
      <c r="A18">
        <f t="shared" si="0"/>
        <v>17</v>
      </c>
      <c r="B18" s="3">
        <f>[1]RFR_spot_no_VA!AJ27</f>
        <v>4.4540000000000003E-2</v>
      </c>
    </row>
    <row r="19" spans="1:2" x14ac:dyDescent="0.35">
      <c r="A19">
        <f t="shared" si="0"/>
        <v>18</v>
      </c>
      <c r="B19" s="3">
        <f>[1]RFR_spot_no_VA!AJ28</f>
        <v>4.4740000000000002E-2</v>
      </c>
    </row>
    <row r="20" spans="1:2" x14ac:dyDescent="0.35">
      <c r="A20">
        <f t="shared" si="0"/>
        <v>19</v>
      </c>
      <c r="B20" s="3">
        <f>[1]RFR_spot_no_VA!AJ29</f>
        <v>4.4909999999999999E-2</v>
      </c>
    </row>
    <row r="21" spans="1:2" x14ac:dyDescent="0.35">
      <c r="A21">
        <f t="shared" si="0"/>
        <v>20</v>
      </c>
      <c r="B21" s="3">
        <f>[1]RFR_spot_no_VA!AJ30</f>
        <v>4.5039999999999997E-2</v>
      </c>
    </row>
    <row r="22" spans="1:2" x14ac:dyDescent="0.35">
      <c r="A22">
        <f t="shared" si="0"/>
        <v>21</v>
      </c>
      <c r="B22" s="3">
        <f>[1]RFR_spot_no_VA!AJ31</f>
        <v>4.514E-2</v>
      </c>
    </row>
    <row r="23" spans="1:2" x14ac:dyDescent="0.35">
      <c r="A23">
        <f t="shared" si="0"/>
        <v>22</v>
      </c>
      <c r="B23" s="3">
        <f>[1]RFR_spot_no_VA!AJ32</f>
        <v>4.521E-2</v>
      </c>
    </row>
    <row r="24" spans="1:2" x14ac:dyDescent="0.35">
      <c r="A24">
        <f t="shared" si="0"/>
        <v>23</v>
      </c>
      <c r="B24" s="3">
        <f>[1]RFR_spot_no_VA!AJ33</f>
        <v>4.5249999999999999E-2</v>
      </c>
    </row>
    <row r="25" spans="1:2" x14ac:dyDescent="0.35">
      <c r="A25">
        <f t="shared" si="0"/>
        <v>24</v>
      </c>
      <c r="B25" s="3">
        <f>[1]RFR_spot_no_VA!AJ34</f>
        <v>4.5249999999999999E-2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1351-CB19-4B85-A86D-FE846EF8FA28}">
  <dimension ref="A1:H25"/>
  <sheetViews>
    <sheetView workbookViewId="0">
      <selection activeCell="M46" sqref="M46"/>
    </sheetView>
  </sheetViews>
  <sheetFormatPr defaultRowHeight="14.5" x14ac:dyDescent="0.35"/>
  <cols>
    <col min="8" max="8" width="20" bestFit="1" customWidth="1"/>
  </cols>
  <sheetData>
    <row r="1" spans="1:8" x14ac:dyDescent="0.35">
      <c r="A1" t="s">
        <v>47</v>
      </c>
      <c r="B1" t="s">
        <v>3</v>
      </c>
      <c r="C1" t="s">
        <v>4</v>
      </c>
      <c r="D1" t="s">
        <v>5</v>
      </c>
    </row>
    <row r="2" spans="1:8" x14ac:dyDescent="0.35">
      <c r="A2">
        <v>1</v>
      </c>
      <c r="B2" s="2">
        <v>2.7912497099237436E-2</v>
      </c>
      <c r="C2" s="2">
        <v>4.2179878298395382E-2</v>
      </c>
      <c r="D2" s="2">
        <v>1.5229458864935309E-4</v>
      </c>
      <c r="G2" s="4"/>
      <c r="H2" s="4"/>
    </row>
    <row r="3" spans="1:8" x14ac:dyDescent="0.35">
      <c r="A3">
        <f t="shared" ref="A3:A25" si="0">A2+1</f>
        <v>2</v>
      </c>
      <c r="B3" s="2">
        <v>6.5194922713609327E-2</v>
      </c>
      <c r="C3" s="2">
        <v>6.6131104877309874E-2</v>
      </c>
      <c r="D3" s="2">
        <v>2.1007183932850899E-2</v>
      </c>
      <c r="H3" s="4"/>
    </row>
    <row r="4" spans="1:8" x14ac:dyDescent="0.35">
      <c r="A4">
        <f t="shared" si="0"/>
        <v>3</v>
      </c>
      <c r="B4" s="2">
        <v>0.16816975769075576</v>
      </c>
      <c r="C4" s="2">
        <v>0.61112743692628757</v>
      </c>
      <c r="D4" s="2">
        <v>3.651356407170301E-2</v>
      </c>
      <c r="H4" s="4"/>
    </row>
    <row r="5" spans="1:8" x14ac:dyDescent="0.35">
      <c r="A5">
        <f t="shared" si="0"/>
        <v>4</v>
      </c>
      <c r="B5" s="2">
        <v>0.652857214505699</v>
      </c>
      <c r="C5" s="2">
        <v>0.73152175466584413</v>
      </c>
      <c r="D5" s="2">
        <v>0.21385841987961074</v>
      </c>
      <c r="H5" s="4"/>
    </row>
    <row r="6" spans="1:8" x14ac:dyDescent="0.35">
      <c r="A6">
        <f t="shared" si="0"/>
        <v>5</v>
      </c>
      <c r="B6" s="2">
        <v>0.80112337204457895</v>
      </c>
      <c r="C6" s="2">
        <v>0.88649964746105725</v>
      </c>
      <c r="D6" s="2">
        <v>0.30429288125627529</v>
      </c>
      <c r="H6" s="4"/>
    </row>
    <row r="7" spans="1:8" x14ac:dyDescent="0.35">
      <c r="A7">
        <f t="shared" si="0"/>
        <v>6</v>
      </c>
      <c r="B7" s="2">
        <v>0.91231173447505787</v>
      </c>
      <c r="C7" s="2">
        <v>0.93747430547627897</v>
      </c>
      <c r="D7" s="2">
        <v>0.47816081778766795</v>
      </c>
      <c r="H7" s="4"/>
    </row>
    <row r="8" spans="1:8" x14ac:dyDescent="0.35">
      <c r="A8">
        <f t="shared" si="0"/>
        <v>7</v>
      </c>
      <c r="B8" s="2">
        <v>0.97289737569329759</v>
      </c>
      <c r="C8" s="2">
        <v>0.98222506831207235</v>
      </c>
      <c r="D8" s="2">
        <v>0.60316668589457856</v>
      </c>
      <c r="H8" s="4"/>
    </row>
    <row r="9" spans="1:8" x14ac:dyDescent="0.35">
      <c r="A9">
        <f t="shared" si="0"/>
        <v>8</v>
      </c>
      <c r="B9" s="2">
        <v>0.98752369165316856</v>
      </c>
      <c r="C9" s="2">
        <v>0.99141292479774512</v>
      </c>
      <c r="D9" s="2">
        <v>0.74218445641891229</v>
      </c>
      <c r="H9" s="4"/>
    </row>
    <row r="10" spans="1:8" x14ac:dyDescent="0.35">
      <c r="A10">
        <f t="shared" si="0"/>
        <v>9</v>
      </c>
      <c r="B10" s="2">
        <v>0.99212721535320825</v>
      </c>
      <c r="C10" s="2">
        <v>0.99268967583693191</v>
      </c>
      <c r="D10" s="2">
        <v>0.82213174711171422</v>
      </c>
      <c r="H10" s="4"/>
    </row>
    <row r="11" spans="1:8" x14ac:dyDescent="0.35">
      <c r="A11">
        <f t="shared" si="0"/>
        <v>10</v>
      </c>
      <c r="B11" s="2">
        <v>0.99432088635989135</v>
      </c>
      <c r="C11" s="2">
        <v>0.99542494771829448</v>
      </c>
      <c r="D11" s="2">
        <v>0.8727218018523295</v>
      </c>
      <c r="H11" s="4"/>
    </row>
    <row r="12" spans="1:8" x14ac:dyDescent="0.35">
      <c r="A12">
        <f t="shared" si="0"/>
        <v>11</v>
      </c>
      <c r="B12" s="2">
        <v>0.99640190757022729</v>
      </c>
      <c r="C12" s="2">
        <v>0.9967249744120309</v>
      </c>
      <c r="D12" s="2">
        <v>0.9044750772435729</v>
      </c>
      <c r="H12" s="4"/>
    </row>
    <row r="13" spans="1:8" x14ac:dyDescent="0.35">
      <c r="A13">
        <f t="shared" si="0"/>
        <v>12</v>
      </c>
      <c r="B13" s="2">
        <v>0.9968325356587544</v>
      </c>
      <c r="C13" s="2">
        <v>0.99699546602089417</v>
      </c>
      <c r="D13" s="2">
        <v>0.92202155872284908</v>
      </c>
      <c r="H13" s="4"/>
    </row>
    <row r="14" spans="1:8" x14ac:dyDescent="0.35">
      <c r="A14">
        <f t="shared" si="0"/>
        <v>13</v>
      </c>
      <c r="B14" s="2">
        <v>0.99697350607095592</v>
      </c>
      <c r="C14" s="2">
        <v>0.99686800531375186</v>
      </c>
      <c r="D14" s="2">
        <v>0.93943914226952585</v>
      </c>
      <c r="H14" s="4"/>
    </row>
    <row r="15" spans="1:8" x14ac:dyDescent="0.35">
      <c r="A15">
        <f t="shared" si="0"/>
        <v>14</v>
      </c>
      <c r="B15" s="2">
        <v>0.99684198298565596</v>
      </c>
      <c r="C15" s="2">
        <v>0.99671007857972105</v>
      </c>
      <c r="D15" s="2">
        <v>0.95059979894193469</v>
      </c>
      <c r="H15" s="4"/>
    </row>
    <row r="16" spans="1:8" x14ac:dyDescent="0.35">
      <c r="A16">
        <f t="shared" si="0"/>
        <v>15</v>
      </c>
      <c r="B16" s="2">
        <v>0.99665026860859152</v>
      </c>
      <c r="C16" s="2">
        <v>0.99658031333614683</v>
      </c>
      <c r="D16" s="2">
        <v>0.97547812717017091</v>
      </c>
      <c r="H16" s="4"/>
    </row>
    <row r="17" spans="1:8" x14ac:dyDescent="0.35">
      <c r="A17">
        <f t="shared" si="0"/>
        <v>16</v>
      </c>
      <c r="B17" s="2">
        <v>0.99792236748130181</v>
      </c>
      <c r="C17" s="2">
        <v>0.99807189502505056</v>
      </c>
      <c r="D17" s="2">
        <v>0.97888826936555473</v>
      </c>
      <c r="H17" s="4"/>
    </row>
    <row r="18" spans="1:8" x14ac:dyDescent="0.35">
      <c r="A18">
        <f t="shared" si="0"/>
        <v>17</v>
      </c>
      <c r="B18" s="2">
        <v>0.99933950447474318</v>
      </c>
      <c r="C18" s="2">
        <v>0.99986302215132206</v>
      </c>
      <c r="D18" s="2">
        <v>0.98493497509129946</v>
      </c>
      <c r="H18" s="4"/>
    </row>
    <row r="19" spans="1:8" x14ac:dyDescent="0.35">
      <c r="A19">
        <f t="shared" si="0"/>
        <v>18</v>
      </c>
      <c r="B19" s="2">
        <v>0.99987251235612662</v>
      </c>
      <c r="C19" s="2">
        <v>0.9998970587731475</v>
      </c>
      <c r="D19" s="2">
        <v>0.98814595084202961</v>
      </c>
      <c r="H19" s="4"/>
    </row>
    <row r="20" spans="1:8" x14ac:dyDescent="0.35">
      <c r="A20">
        <f t="shared" si="0"/>
        <v>19</v>
      </c>
      <c r="B20" s="2">
        <v>0.99991850599287846</v>
      </c>
      <c r="C20" s="2">
        <v>0.99992293900327456</v>
      </c>
      <c r="D20" s="2">
        <v>0.99059050894457201</v>
      </c>
      <c r="H20" s="4"/>
    </row>
    <row r="21" spans="1:8" x14ac:dyDescent="0.35">
      <c r="A21">
        <f t="shared" si="0"/>
        <v>20</v>
      </c>
      <c r="B21" s="2">
        <v>0.99992514326782145</v>
      </c>
      <c r="C21" s="2">
        <v>0.99993110918536043</v>
      </c>
      <c r="D21" s="2">
        <v>0.99666066365709971</v>
      </c>
      <c r="H21" s="4"/>
    </row>
    <row r="22" spans="1:8" x14ac:dyDescent="0.35">
      <c r="A22">
        <f t="shared" si="0"/>
        <v>21</v>
      </c>
      <c r="B22" s="2">
        <v>0.99994147872844052</v>
      </c>
      <c r="C22" s="2">
        <v>0.99998203734497138</v>
      </c>
      <c r="D22" s="2">
        <v>0.99692976708092251</v>
      </c>
      <c r="H22" s="4"/>
    </row>
    <row r="23" spans="1:8" x14ac:dyDescent="0.35">
      <c r="A23">
        <f t="shared" si="0"/>
        <v>22</v>
      </c>
      <c r="B23" s="2">
        <v>0.99999133920836158</v>
      </c>
      <c r="C23" s="2">
        <v>0.99999970292179774</v>
      </c>
      <c r="D23" s="2">
        <v>0.99863878176091292</v>
      </c>
      <c r="H23" s="4"/>
    </row>
    <row r="24" spans="1:8" x14ac:dyDescent="0.35">
      <c r="A24">
        <f t="shared" si="0"/>
        <v>23</v>
      </c>
      <c r="B24" s="2">
        <v>0.99999987639537369</v>
      </c>
      <c r="C24" s="2">
        <v>1</v>
      </c>
      <c r="D24" s="2">
        <v>0.99974278173909603</v>
      </c>
      <c r="H24" s="4"/>
    </row>
    <row r="25" spans="1:8" x14ac:dyDescent="0.35">
      <c r="A25">
        <f t="shared" si="0"/>
        <v>24</v>
      </c>
      <c r="B25" s="2">
        <v>1</v>
      </c>
      <c r="C25" s="2">
        <v>1</v>
      </c>
      <c r="D25" s="2">
        <v>1</v>
      </c>
      <c r="H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Underwriting</vt:lpstr>
      <vt:lpstr>Reserve</vt:lpstr>
      <vt:lpstr>Credit_Operational_CAT</vt:lpstr>
      <vt:lpstr>Market</vt:lpstr>
      <vt:lpstr>Market_Correlation</vt:lpstr>
      <vt:lpstr>Market_Class_Impact</vt:lpstr>
      <vt:lpstr>Credit_Operational_Market_EC</vt:lpstr>
      <vt:lpstr>Credit</vt:lpstr>
      <vt:lpstr>Operational</vt:lpstr>
      <vt:lpstr>Underwriting_Cycle</vt:lpstr>
      <vt:lpstr>Underwriting_Cycle_Class</vt:lpstr>
      <vt:lpstr>Credit_Operational_UC</vt:lpstr>
      <vt:lpstr>Inflation_Class</vt:lpstr>
      <vt:lpstr>Reinsurance</vt:lpstr>
      <vt:lpstr>Cat Reinsurance</vt:lpstr>
      <vt:lpstr>Expense Inputs</vt:lpstr>
      <vt:lpstr>Yield Curve</vt:lpstr>
      <vt:lpstr>Payment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Garvit Nagpal</cp:lastModifiedBy>
  <dcterms:created xsi:type="dcterms:W3CDTF">2025-04-26T19:42:41Z</dcterms:created>
  <dcterms:modified xsi:type="dcterms:W3CDTF">2025-08-04T05:17:54Z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5a184a-ec6c-4706-a8fe-00eb3519811b_Enabled">
    <vt:lpwstr>true</vt:lpwstr>
  </property>
  <property fmtid="{D5CDD505-2E9C-101B-9397-08002B2CF9AE}" pid="3" name="MSIP_Label_e45a184a-ec6c-4706-a8fe-00eb3519811b_SetDate">
    <vt:lpwstr>2025-06-04T11:03:50Z</vt:lpwstr>
  </property>
  <property fmtid="{D5CDD505-2E9C-101B-9397-08002B2CF9AE}" pid="4" name="MSIP_Label_e45a184a-ec6c-4706-a8fe-00eb3519811b_Method">
    <vt:lpwstr>Privileged</vt:lpwstr>
  </property>
  <property fmtid="{D5CDD505-2E9C-101B-9397-08002B2CF9AE}" pid="5" name="MSIP_Label_e45a184a-ec6c-4706-a8fe-00eb3519811b_Name">
    <vt:lpwstr>Confidential</vt:lpwstr>
  </property>
  <property fmtid="{D5CDD505-2E9C-101B-9397-08002B2CF9AE}" pid="6" name="MSIP_Label_e45a184a-ec6c-4706-a8fe-00eb3519811b_SiteId">
    <vt:lpwstr>9a50eba8-7568-447a-bcb9-27a0d464aa80</vt:lpwstr>
  </property>
  <property fmtid="{D5CDD505-2E9C-101B-9397-08002B2CF9AE}" pid="7" name="MSIP_Label_e45a184a-ec6c-4706-a8fe-00eb3519811b_ActionId">
    <vt:lpwstr>167a2d72-6c43-493a-84b1-819310552a92</vt:lpwstr>
  </property>
  <property fmtid="{D5CDD505-2E9C-101B-9397-08002B2CF9AE}" pid="8" name="MSIP_Label_e45a184a-ec6c-4706-a8fe-00eb3519811b_ContentBits">
    <vt:lpwstr>0</vt:lpwstr>
  </property>
  <property fmtid="{D5CDD505-2E9C-101B-9397-08002B2CF9AE}" pid="9" name="MSIP_Label_e45a184a-ec6c-4706-a8fe-00eb3519811b_Tag">
    <vt:lpwstr>10, 0, 1, 1</vt:lpwstr>
  </property>
</Properties>
</file>